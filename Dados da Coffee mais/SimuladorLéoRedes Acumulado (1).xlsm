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coffeemaisind-my.sharepoint.com/personal/julliano_coffeemaisind_onmicrosoft_com/Documents/Área de Trabalho/Simulador Margem/"/>
    </mc:Choice>
  </mc:AlternateContent>
  <xr:revisionPtr revIDLastSave="516" documentId="8_{1851D1AF-3504-415B-8CC4-2473FF2D3F72}" xr6:coauthVersionLast="47" xr6:coauthVersionMax="47" xr10:uidLastSave="{4188B9E9-9E84-4E7E-9C89-86FC9EB551F2}"/>
  <bookViews>
    <workbookView xWindow="-110" yWindow="-110" windowWidth="19420" windowHeight="10300" xr2:uid="{C562E7D2-6139-4C7B-90B7-FBB798E65FA9}"/>
  </bookViews>
  <sheets>
    <sheet name="Resumo" sheetId="6" r:id="rId1"/>
    <sheet name="Análise" sheetId="4" r:id="rId2"/>
    <sheet name="Auxiliar" sheetId="12" r:id="rId3"/>
  </sheets>
  <definedNames>
    <definedName name="_xlnm._FilterDatabase" localSheetId="1" hidden="1">Análise!$A$1:$AL$312</definedName>
    <definedName name="_xlnm._FilterDatabase" localSheetId="2" hidden="1">Auxiliar!$A$1:$C$68</definedName>
    <definedName name="_xleta.AND" hidden="1" xlm="1">#NAME?</definedName>
    <definedName name="_xleta.LOOKUP" hidden="1" xlm="1">#NAME?</definedName>
    <definedName name="SegmentaçãodeDados_Competência">#N/A</definedName>
    <definedName name="SegmentaçãodeDados_Responsável">#N/A</definedName>
  </definedNames>
  <calcPr calcId="191029"/>
  <pivotCaches>
    <pivotCache cacheId="176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4" i="4" l="1"/>
  <c r="B184" i="4"/>
  <c r="C183" i="4"/>
  <c r="B183" i="4"/>
  <c r="C182" i="4"/>
  <c r="B182" i="4"/>
  <c r="C181" i="4"/>
  <c r="B181" i="4"/>
  <c r="C180" i="4"/>
  <c r="B180" i="4"/>
  <c r="C179" i="4"/>
  <c r="B179" i="4"/>
  <c r="C178" i="4"/>
  <c r="B178" i="4"/>
  <c r="C177" i="4"/>
  <c r="B177" i="4"/>
  <c r="C176" i="4"/>
  <c r="B176" i="4"/>
  <c r="C175" i="4"/>
  <c r="B175" i="4"/>
  <c r="C174" i="4"/>
  <c r="B174" i="4"/>
  <c r="C173" i="4"/>
  <c r="B173" i="4"/>
  <c r="C172" i="4"/>
  <c r="B172" i="4"/>
  <c r="C171" i="4"/>
  <c r="B171" i="4"/>
  <c r="C170" i="4"/>
  <c r="B170" i="4"/>
  <c r="C169" i="4"/>
  <c r="B169" i="4"/>
  <c r="C168" i="4"/>
  <c r="B168" i="4"/>
  <c r="C167" i="4"/>
  <c r="B167" i="4"/>
  <c r="C166" i="4"/>
  <c r="B166" i="4"/>
  <c r="C165" i="4"/>
  <c r="B165" i="4"/>
  <c r="C164" i="4"/>
  <c r="B164" i="4"/>
  <c r="C163" i="4"/>
  <c r="B163" i="4"/>
  <c r="C162" i="4"/>
  <c r="B162" i="4"/>
  <c r="C161" i="4"/>
  <c r="B161" i="4"/>
  <c r="C160" i="4"/>
  <c r="B160" i="4"/>
  <c r="C159" i="4"/>
  <c r="B159" i="4"/>
  <c r="C158" i="4"/>
  <c r="B158" i="4"/>
  <c r="C157" i="4"/>
  <c r="B157" i="4"/>
  <c r="C156" i="4"/>
  <c r="B156" i="4"/>
  <c r="C155" i="4"/>
  <c r="B155" i="4"/>
  <c r="C154" i="4"/>
  <c r="B154" i="4"/>
  <c r="C153" i="4"/>
  <c r="B153" i="4"/>
  <c r="C152" i="4"/>
  <c r="B152" i="4"/>
  <c r="C151" i="4"/>
  <c r="B151" i="4"/>
  <c r="C150" i="4"/>
  <c r="B150" i="4"/>
  <c r="C149" i="4"/>
  <c r="B149" i="4"/>
  <c r="C148" i="4"/>
  <c r="B148" i="4"/>
  <c r="C147" i="4"/>
  <c r="B147" i="4"/>
  <c r="C146" i="4"/>
  <c r="B146" i="4"/>
  <c r="C145" i="4"/>
  <c r="B145" i="4"/>
  <c r="C144" i="4"/>
  <c r="B144" i="4"/>
  <c r="C143" i="4"/>
  <c r="B143" i="4"/>
  <c r="C142" i="4"/>
  <c r="B142" i="4"/>
  <c r="C141" i="4"/>
  <c r="B141" i="4"/>
  <c r="C140" i="4"/>
  <c r="B140" i="4"/>
  <c r="C139" i="4"/>
  <c r="B139" i="4"/>
  <c r="C138" i="4"/>
  <c r="B138" i="4"/>
  <c r="C137" i="4"/>
  <c r="B137" i="4"/>
  <c r="C136" i="4"/>
  <c r="B136" i="4"/>
  <c r="C135" i="4"/>
  <c r="B135" i="4"/>
  <c r="C134" i="4"/>
  <c r="B134" i="4"/>
  <c r="C133" i="4"/>
  <c r="B133" i="4"/>
  <c r="C132" i="4"/>
  <c r="B132" i="4"/>
  <c r="C131" i="4"/>
  <c r="B131" i="4"/>
  <c r="C130" i="4"/>
  <c r="B130" i="4"/>
  <c r="C129" i="4"/>
  <c r="B129" i="4"/>
  <c r="C128" i="4"/>
  <c r="B128" i="4"/>
  <c r="C127" i="4"/>
  <c r="B127" i="4"/>
  <c r="C126" i="4"/>
  <c r="B126" i="4"/>
  <c r="C125" i="4"/>
  <c r="B125" i="4"/>
  <c r="C124" i="4"/>
  <c r="B124" i="4"/>
  <c r="C123" i="4"/>
  <c r="B123" i="4"/>
  <c r="C122" i="4"/>
  <c r="B122" i="4"/>
  <c r="C121" i="4"/>
  <c r="B121" i="4"/>
  <c r="C120" i="4"/>
  <c r="B120" i="4"/>
  <c r="C119" i="4"/>
  <c r="B119" i="4"/>
  <c r="C118" i="4"/>
  <c r="B118" i="4"/>
  <c r="C117" i="4"/>
  <c r="B117" i="4"/>
  <c r="C116" i="4"/>
  <c r="B116" i="4"/>
  <c r="C115" i="4"/>
  <c r="B115" i="4"/>
  <c r="C114" i="4"/>
  <c r="B114" i="4"/>
  <c r="C113" i="4"/>
  <c r="B113" i="4"/>
  <c r="C112" i="4"/>
  <c r="B112" i="4"/>
  <c r="C111" i="4"/>
  <c r="B111" i="4"/>
  <c r="C110" i="4"/>
  <c r="B110" i="4"/>
  <c r="C109" i="4"/>
  <c r="B109" i="4"/>
  <c r="C108" i="4"/>
  <c r="B108" i="4"/>
  <c r="C107" i="4"/>
  <c r="B107" i="4"/>
  <c r="C106" i="4"/>
  <c r="B106" i="4"/>
  <c r="C105" i="4"/>
  <c r="B105" i="4"/>
  <c r="C104" i="4"/>
  <c r="B104" i="4"/>
  <c r="C103" i="4"/>
  <c r="B103" i="4"/>
  <c r="C102" i="4"/>
  <c r="B102" i="4"/>
  <c r="C101" i="4"/>
  <c r="B101" i="4"/>
  <c r="C100" i="4"/>
  <c r="B100" i="4"/>
  <c r="C99" i="4"/>
  <c r="B99" i="4"/>
  <c r="C98" i="4"/>
  <c r="B98" i="4"/>
  <c r="C97" i="4"/>
  <c r="B97" i="4"/>
  <c r="C96" i="4"/>
  <c r="B96" i="4"/>
  <c r="C95" i="4"/>
  <c r="B95" i="4"/>
  <c r="C94" i="4"/>
  <c r="B94" i="4"/>
  <c r="C93" i="4"/>
  <c r="B93" i="4"/>
  <c r="C92" i="4"/>
  <c r="B92" i="4"/>
  <c r="C91" i="4"/>
  <c r="B91" i="4"/>
  <c r="C90" i="4"/>
  <c r="B90" i="4"/>
  <c r="C89" i="4"/>
  <c r="B89" i="4"/>
  <c r="C88" i="4"/>
  <c r="B88" i="4"/>
  <c r="C87" i="4"/>
  <c r="B87" i="4"/>
  <c r="C86" i="4"/>
  <c r="B86" i="4"/>
  <c r="C85" i="4"/>
  <c r="B85" i="4"/>
  <c r="C84" i="4"/>
  <c r="B84" i="4"/>
  <c r="C83" i="4"/>
  <c r="B83" i="4"/>
  <c r="C82" i="4"/>
  <c r="B82" i="4"/>
  <c r="C81" i="4"/>
  <c r="B81" i="4"/>
  <c r="C80" i="4"/>
  <c r="B80" i="4"/>
  <c r="C79" i="4"/>
  <c r="B79" i="4"/>
  <c r="C78" i="4"/>
  <c r="B78" i="4"/>
  <c r="C77" i="4"/>
  <c r="B77" i="4"/>
  <c r="C76" i="4"/>
  <c r="B76" i="4"/>
  <c r="C75" i="4"/>
  <c r="B75" i="4"/>
  <c r="C74" i="4"/>
  <c r="B74" i="4"/>
  <c r="C73" i="4"/>
  <c r="B73" i="4"/>
  <c r="C72" i="4"/>
  <c r="B72" i="4"/>
  <c r="C71" i="4"/>
  <c r="B71" i="4"/>
  <c r="C70" i="4"/>
  <c r="B70" i="4"/>
  <c r="C69" i="4"/>
  <c r="B69" i="4"/>
  <c r="C68" i="4"/>
  <c r="B68" i="4"/>
  <c r="C67" i="4"/>
  <c r="B67" i="4"/>
  <c r="C66" i="4"/>
  <c r="B66" i="4"/>
  <c r="C65" i="4"/>
  <c r="B65" i="4"/>
  <c r="C64" i="4"/>
  <c r="B64" i="4"/>
  <c r="C63" i="4"/>
  <c r="B63" i="4"/>
  <c r="C62" i="4"/>
  <c r="B62" i="4"/>
  <c r="C61" i="4"/>
  <c r="B61" i="4"/>
  <c r="C60" i="4"/>
  <c r="B60" i="4"/>
  <c r="C59" i="4"/>
  <c r="B59" i="4"/>
  <c r="C58" i="4"/>
  <c r="B58" i="4"/>
  <c r="C57" i="4"/>
  <c r="B57" i="4"/>
  <c r="C56" i="4"/>
  <c r="B56" i="4"/>
  <c r="C55" i="4"/>
  <c r="B55" i="4"/>
  <c r="C54" i="4"/>
  <c r="B54" i="4"/>
  <c r="C53" i="4"/>
  <c r="B53" i="4"/>
  <c r="C52" i="4"/>
  <c r="B52" i="4"/>
  <c r="C51" i="4"/>
  <c r="B51" i="4"/>
  <c r="C50" i="4"/>
  <c r="B50" i="4"/>
  <c r="C49" i="4"/>
  <c r="B49" i="4"/>
  <c r="C48" i="4"/>
  <c r="B48" i="4"/>
  <c r="C47" i="4"/>
  <c r="B47" i="4"/>
  <c r="C46" i="4"/>
  <c r="B46" i="4"/>
  <c r="C45" i="4"/>
  <c r="B45" i="4"/>
  <c r="C44" i="4"/>
  <c r="B44" i="4"/>
  <c r="C43" i="4"/>
  <c r="B43" i="4"/>
  <c r="C42" i="4"/>
  <c r="B42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B8" i="4"/>
  <c r="C7" i="4"/>
  <c r="B7" i="4"/>
  <c r="C6" i="4"/>
  <c r="B6" i="4"/>
  <c r="C5" i="4"/>
  <c r="B5" i="4"/>
  <c r="C4" i="4"/>
  <c r="B4" i="4"/>
  <c r="C3" i="4"/>
  <c r="B3" i="4"/>
  <c r="C2" i="4"/>
  <c r="B2" i="4"/>
  <c r="B66" i="12"/>
  <c r="B64" i="12"/>
  <c r="B63" i="12"/>
  <c r="B62" i="12"/>
  <c r="B61" i="12"/>
  <c r="B59" i="12"/>
  <c r="B58" i="12"/>
  <c r="B57" i="12"/>
  <c r="B56" i="12"/>
  <c r="B55" i="12"/>
  <c r="B54" i="12"/>
  <c r="B53" i="12"/>
  <c r="B52" i="12"/>
  <c r="B49" i="12"/>
  <c r="B45" i="12"/>
  <c r="B44" i="12"/>
  <c r="B43" i="12"/>
  <c r="B42" i="12"/>
  <c r="B41" i="12"/>
  <c r="B40" i="12"/>
  <c r="B39" i="12"/>
  <c r="B37" i="12"/>
  <c r="B36" i="12"/>
  <c r="B35" i="12"/>
  <c r="B34" i="12"/>
  <c r="B33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0" i="12"/>
  <c r="B9" i="12"/>
  <c r="B8" i="12"/>
  <c r="B7" i="12"/>
  <c r="B6" i="12"/>
  <c r="B5" i="12"/>
  <c r="B4" i="12"/>
  <c r="B3" i="12"/>
  <c r="B2" i="12"/>
  <c r="B68" i="12"/>
  <c r="B67" i="12"/>
  <c r="R1" i="6" l="1"/>
  <c r="Q1" i="6" l="1"/>
  <c r="P1" i="6" l="1"/>
  <c r="N1" i="6"/>
  <c r="M1" i="6"/>
  <c r="L1" i="6"/>
  <c r="K1" i="6"/>
  <c r="I1" i="6"/>
  <c r="F1" i="6"/>
  <c r="E1" i="6"/>
  <c r="D1" i="6"/>
  <c r="C1" i="6"/>
  <c r="B1" i="6"/>
  <c r="J1" i="6" l="1"/>
  <c r="H1" i="6"/>
  <c r="O1" i="6"/>
  <c r="G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tc={1EF1BD84-3EE6-4F9B-BD0C-2C0B4B422A6B}</author>
    <author>tc={417BF48B-5941-4134-9172-E80D589610C9}</author>
  </authors>
  <commentList>
    <comment ref="AC1" authorId="0" shapeId="0" xr:uid="{1EF1BD84-3EE6-4F9B-BD0C-2C0B4B422A6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Rateio Gestor</t>
      </text>
    </comment>
    <comment ref="AD1" authorId="1" shapeId="0" xr:uid="{417BF48B-5941-4134-9172-E80D589610C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RateioDGA</t>
      </text>
    </comment>
  </commentList>
</comments>
</file>

<file path=xl/sharedStrings.xml><?xml version="1.0" encoding="utf-8"?>
<sst xmlns="http://schemas.openxmlformats.org/spreadsheetml/2006/main" count="2554" uniqueCount="146">
  <si>
    <t xml:space="preserve"> Lojas</t>
  </si>
  <si>
    <t>Gestor</t>
  </si>
  <si>
    <t>DGA</t>
  </si>
  <si>
    <t>Pessoas</t>
  </si>
  <si>
    <t>Rede</t>
  </si>
  <si>
    <t>BA HIPERIDEAL</t>
  </si>
  <si>
    <t>CE MERCADINHO SÃO LUIZ</t>
  </si>
  <si>
    <t>DF EMPÓRIO PRIME</t>
  </si>
  <si>
    <t>GO EMPÓRIO PRIME</t>
  </si>
  <si>
    <t>MG ABC</t>
  </si>
  <si>
    <t>MG BEM HORTIFRUT</t>
  </si>
  <si>
    <t>MG BONÍSSIMA</t>
  </si>
  <si>
    <t>MG COELHO DINIZ</t>
  </si>
  <si>
    <t>MG PANELÃO</t>
  </si>
  <si>
    <t>MG SUPER LUNA</t>
  </si>
  <si>
    <t>MG SUPERMAXI</t>
  </si>
  <si>
    <t>MG VIA BAHIA</t>
  </si>
  <si>
    <t>MT BIG LAR</t>
  </si>
  <si>
    <t>MT FORT</t>
  </si>
  <si>
    <t>SP CASA SANTA LUZIA</t>
  </si>
  <si>
    <t>SP INFANGER</t>
  </si>
  <si>
    <t>SP SuperVille</t>
  </si>
  <si>
    <t>Leandro</t>
  </si>
  <si>
    <t>SC ANGELONI</t>
  </si>
  <si>
    <t>RS ZAFFARI</t>
  </si>
  <si>
    <t>SC BISTEK</t>
  </si>
  <si>
    <t>SC FORT</t>
  </si>
  <si>
    <t>SC HIPERBOM / HIPERSELECT</t>
  </si>
  <si>
    <t>SC IMPERATRIZ</t>
  </si>
  <si>
    <t>Luiz</t>
  </si>
  <si>
    <t>DF ASSAI</t>
  </si>
  <si>
    <t>REDE OBA</t>
  </si>
  <si>
    <t>DF REDE OBA</t>
  </si>
  <si>
    <t>DF DONA</t>
  </si>
  <si>
    <t>DF SUPER ADEGA</t>
  </si>
  <si>
    <t>GO ASSAI</t>
  </si>
  <si>
    <t>MA MATEUS</t>
  </si>
  <si>
    <t>MG ASSAI</t>
  </si>
  <si>
    <t>MG BAHAMAS</t>
  </si>
  <si>
    <t>MG BH</t>
  </si>
  <si>
    <t>MG EPA</t>
  </si>
  <si>
    <t>MG SUPERNOSSO</t>
  </si>
  <si>
    <t>MG VERDEMAR</t>
  </si>
  <si>
    <t>PB MATEUS</t>
  </si>
  <si>
    <t>PE MATEUS</t>
  </si>
  <si>
    <t>PR FESTVAL</t>
  </si>
  <si>
    <t>PR ÍTALO</t>
  </si>
  <si>
    <t>PR MUFFATO</t>
  </si>
  <si>
    <t>RJ ZONA SUL</t>
  </si>
  <si>
    <t>SP BOA</t>
  </si>
  <si>
    <t>SP FORT</t>
  </si>
  <si>
    <t>SP MAMBO</t>
  </si>
  <si>
    <t>SP REDE OBA</t>
  </si>
  <si>
    <t>SP ZAFFARI</t>
  </si>
  <si>
    <t>Lojas</t>
  </si>
  <si>
    <t>Léo</t>
  </si>
  <si>
    <t>Rede_UF</t>
  </si>
  <si>
    <t>ES CASAGRANDE</t>
  </si>
  <si>
    <t>ES ORIUNDI</t>
  </si>
  <si>
    <t>MG Hiper Monlevade</t>
  </si>
  <si>
    <t>MT BOM GOSTO</t>
  </si>
  <si>
    <t>MT MERCADO CURIO</t>
  </si>
  <si>
    <t>SC MONIARI</t>
  </si>
  <si>
    <t>ES Carone</t>
  </si>
  <si>
    <t>RJ Carone</t>
  </si>
  <si>
    <t>SP DUFRY</t>
  </si>
  <si>
    <t>Responsável</t>
  </si>
  <si>
    <t>CPV</t>
  </si>
  <si>
    <t>Faturamento Bruto</t>
  </si>
  <si>
    <t>Investimento</t>
  </si>
  <si>
    <t>Faturamento Líquido</t>
  </si>
  <si>
    <t>Custo Rede</t>
  </si>
  <si>
    <t xml:space="preserve"> Contrato +Frete+ICMS</t>
  </si>
  <si>
    <t>RJ ZONA SUL - Me Bebe</t>
  </si>
  <si>
    <t>Contrato</t>
  </si>
  <si>
    <t>Frete</t>
  </si>
  <si>
    <t>ICMS</t>
  </si>
  <si>
    <t>Investimento Custo</t>
  </si>
  <si>
    <t>Despesas</t>
  </si>
  <si>
    <t xml:space="preserve"> Faturamento Bruto</t>
  </si>
  <si>
    <t xml:space="preserve"> Investimento</t>
  </si>
  <si>
    <t xml:space="preserve"> Faturamento Líquido</t>
  </si>
  <si>
    <t xml:space="preserve"> Despesas</t>
  </si>
  <si>
    <t xml:space="preserve"> Investimento Custo</t>
  </si>
  <si>
    <t>CPV Custo</t>
  </si>
  <si>
    <t>Valores</t>
  </si>
  <si>
    <t xml:space="preserve">  CPV</t>
  </si>
  <si>
    <t xml:space="preserve">  % Investimento</t>
  </si>
  <si>
    <t xml:space="preserve">  Lucro</t>
  </si>
  <si>
    <t xml:space="preserve">  % Lucro</t>
  </si>
  <si>
    <t>Check</t>
  </si>
  <si>
    <t xml:space="preserve"> DGA</t>
  </si>
  <si>
    <t xml:space="preserve"> Custo Rede</t>
  </si>
  <si>
    <t>Lucro</t>
  </si>
  <si>
    <t>% Lucro</t>
  </si>
  <si>
    <t>% Investimento</t>
  </si>
  <si>
    <t>Valor Contrato</t>
  </si>
  <si>
    <t xml:space="preserve"> Valor Contrato</t>
  </si>
  <si>
    <t xml:space="preserve"> Contrato</t>
  </si>
  <si>
    <t xml:space="preserve"> CPV Custo</t>
  </si>
  <si>
    <t>Equilíbrio</t>
  </si>
  <si>
    <t>Valor Loja</t>
  </si>
  <si>
    <t>%Custo</t>
  </si>
  <si>
    <t>FixoCusto</t>
  </si>
  <si>
    <t>Faturametno Gestor</t>
  </si>
  <si>
    <t>% Rede/Gestor</t>
  </si>
  <si>
    <t>% Rede</t>
  </si>
  <si>
    <t>Tipo</t>
  </si>
  <si>
    <t>KA</t>
  </si>
  <si>
    <t>%Rede/Tipo</t>
  </si>
  <si>
    <t>Promotor+ Agência</t>
  </si>
  <si>
    <t>Faturamento Tipo</t>
  </si>
  <si>
    <t xml:space="preserve"> % Rede</t>
  </si>
  <si>
    <t>Luisa</t>
  </si>
  <si>
    <t>AM Pátio Gourmet</t>
  </si>
  <si>
    <t>AC ARASUPER</t>
  </si>
  <si>
    <t>RS Supermercado Apolo</t>
  </si>
  <si>
    <t>RO ARASUPER</t>
  </si>
  <si>
    <t>MG SUPERMERCADO MONTEREY</t>
  </si>
  <si>
    <t>2025_09</t>
  </si>
  <si>
    <t>SP CONFIANÇA</t>
  </si>
  <si>
    <t>PI MATEUS</t>
  </si>
  <si>
    <t>Responsável Variável</t>
  </si>
  <si>
    <t xml:space="preserve">  Contrato +Frete +ICMS</t>
  </si>
  <si>
    <t>(Tudo)</t>
  </si>
  <si>
    <t>SC BRASIL ATACADISTA</t>
  </si>
  <si>
    <t>MG Cevaroli</t>
  </si>
  <si>
    <t>2025_12</t>
  </si>
  <si>
    <t>Julliano</t>
  </si>
  <si>
    <t>SC HIPPO</t>
  </si>
  <si>
    <t>Emerson</t>
  </si>
  <si>
    <t>PR CIRCUITO</t>
  </si>
  <si>
    <t>Competência</t>
  </si>
  <si>
    <t>2025_10</t>
  </si>
  <si>
    <t>2025_11</t>
  </si>
  <si>
    <t>ARASUPER</t>
  </si>
  <si>
    <t>EMPÓRIO PRIME</t>
  </si>
  <si>
    <t>MATEUS</t>
  </si>
  <si>
    <t>MG SUPERNOSSO - PRIVATE</t>
  </si>
  <si>
    <t>SP ARMAZEM DA MARIA</t>
  </si>
  <si>
    <t>GO SUPER ADEGA</t>
  </si>
  <si>
    <t>AM PATIO GOURMERT</t>
  </si>
  <si>
    <t>SP SUPER CREMA</t>
  </si>
  <si>
    <t>2026-01</t>
  </si>
  <si>
    <t>BA REDEMIX</t>
  </si>
  <si>
    <t>2026-02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</si>
</sst>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0.0%"/>
    <numFmt numFmtId="165" formatCode="#,##0.0"/>
    <numFmt numFmtId="166" formatCode="0.0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9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9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b/>
      <sz val="9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/>
  </cellStyleXfs>
  <cellXfs count="66">
    <xf numFmtId="0" fontId="0" fillId="0" borderId="0" xfId="0"/>
    <xf numFmtId="0" fontId="0" fillId="2" borderId="0" xfId="0" applyFill="1"/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3" fontId="5" fillId="3" borderId="1" xfId="0" applyNumberFormat="1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3" fontId="4" fillId="0" borderId="0" xfId="0" applyNumberFormat="1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10" fontId="5" fillId="3" borderId="1" xfId="0" applyNumberFormat="1" applyFont="1" applyFill="1" applyBorder="1" applyAlignment="1">
      <alignment horizontal="center" vertical="center" wrapText="1"/>
    </xf>
    <xf numFmtId="10" fontId="4" fillId="0" borderId="0" xfId="0" applyNumberFormat="1" applyFont="1" applyAlignment="1">
      <alignment horizontal="center" vertical="center" wrapText="1"/>
    </xf>
    <xf numFmtId="10" fontId="4" fillId="2" borderId="0" xfId="0" applyNumberFormat="1" applyFont="1" applyFill="1" applyAlignment="1">
      <alignment horizontal="center" vertical="center" wrapText="1"/>
    </xf>
    <xf numFmtId="164" fontId="4" fillId="6" borderId="1" xfId="0" applyNumberFormat="1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3" fontId="5" fillId="7" borderId="1" xfId="0" applyNumberFormat="1" applyFont="1" applyFill="1" applyBorder="1" applyAlignment="1">
      <alignment horizontal="center" vertical="center" wrapText="1"/>
    </xf>
    <xf numFmtId="3" fontId="5" fillId="8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3" fontId="4" fillId="3" borderId="0" xfId="0" applyNumberFormat="1" applyFont="1" applyFill="1" applyAlignment="1">
      <alignment horizontal="center" vertical="center" wrapText="1"/>
    </xf>
    <xf numFmtId="3" fontId="4" fillId="9" borderId="0" xfId="0" applyNumberFormat="1" applyFont="1" applyFill="1" applyAlignment="1">
      <alignment horizontal="center" vertical="center" wrapText="1"/>
    </xf>
    <xf numFmtId="1" fontId="4" fillId="3" borderId="0" xfId="0" applyNumberFormat="1" applyFont="1" applyFill="1" applyAlignment="1">
      <alignment horizontal="center" vertical="center" wrapText="1"/>
    </xf>
    <xf numFmtId="3" fontId="6" fillId="0" borderId="0" xfId="0" applyNumberFormat="1" applyFont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164" fontId="7" fillId="0" borderId="0" xfId="1" applyNumberFormat="1" applyFont="1" applyAlignment="1">
      <alignment horizontal="center" vertical="center"/>
    </xf>
    <xf numFmtId="164" fontId="7" fillId="2" borderId="0" xfId="1" applyNumberFormat="1" applyFont="1" applyFill="1" applyAlignment="1">
      <alignment horizontal="center" vertical="center"/>
    </xf>
    <xf numFmtId="164" fontId="8" fillId="10" borderId="0" xfId="1" applyNumberFormat="1" applyFont="1" applyFill="1" applyAlignment="1">
      <alignment horizontal="center" vertical="center"/>
    </xf>
    <xf numFmtId="166" fontId="5" fillId="7" borderId="1" xfId="0" applyNumberFormat="1" applyFont="1" applyFill="1" applyBorder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 wrapText="1"/>
    </xf>
    <xf numFmtId="166" fontId="4" fillId="11" borderId="0" xfId="0" applyNumberFormat="1" applyFont="1" applyFill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166" fontId="4" fillId="3" borderId="0" xfId="0" applyNumberFormat="1" applyFont="1" applyFill="1" applyAlignment="1">
      <alignment horizontal="center" vertical="center" wrapText="1"/>
    </xf>
    <xf numFmtId="165" fontId="4" fillId="3" borderId="0" xfId="0" applyNumberFormat="1" applyFont="1" applyFill="1" applyAlignment="1">
      <alignment horizontal="center" vertical="center" wrapText="1"/>
    </xf>
    <xf numFmtId="165" fontId="4" fillId="2" borderId="0" xfId="0" applyNumberFormat="1" applyFont="1" applyFill="1" applyAlignment="1">
      <alignment horizontal="center" vertical="center" wrapText="1"/>
    </xf>
    <xf numFmtId="3" fontId="4" fillId="4" borderId="0" xfId="0" applyNumberFormat="1" applyFont="1" applyFill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center" vertical="center"/>
    </xf>
    <xf numFmtId="9" fontId="4" fillId="0" borderId="0" xfId="1" applyFont="1" applyAlignment="1">
      <alignment horizontal="center" vertical="center" wrapText="1"/>
    </xf>
    <xf numFmtId="3" fontId="4" fillId="0" borderId="0" xfId="1" applyNumberFormat="1" applyFont="1" applyAlignment="1">
      <alignment horizontal="center" vertical="center" wrapText="1"/>
    </xf>
    <xf numFmtId="3" fontId="10" fillId="12" borderId="0" xfId="1" applyNumberFormat="1" applyFont="1" applyFill="1" applyAlignment="1">
      <alignment horizontal="center" vertical="center" wrapText="1"/>
    </xf>
    <xf numFmtId="3" fontId="10" fillId="12" borderId="0" xfId="0" applyNumberFormat="1" applyFont="1" applyFill="1" applyAlignment="1">
      <alignment horizontal="center" vertical="center" wrapText="1"/>
    </xf>
    <xf numFmtId="3" fontId="3" fillId="12" borderId="0" xfId="0" applyNumberFormat="1" applyFont="1" applyFill="1" applyAlignment="1">
      <alignment horizontal="center" vertical="center" wrapText="1"/>
    </xf>
    <xf numFmtId="9" fontId="3" fillId="12" borderId="0" xfId="0" applyNumberFormat="1" applyFont="1" applyFill="1" applyAlignment="1">
      <alignment horizontal="center" vertical="center" wrapText="1"/>
    </xf>
    <xf numFmtId="3" fontId="9" fillId="13" borderId="0" xfId="0" applyNumberFormat="1" applyFont="1" applyFill="1" applyAlignment="1">
      <alignment horizontal="center" vertical="center" wrapText="1"/>
    </xf>
    <xf numFmtId="9" fontId="10" fillId="6" borderId="0" xfId="1" applyFont="1" applyFill="1" applyAlignment="1">
      <alignment horizontal="center" vertical="center" wrapText="1"/>
    </xf>
    <xf numFmtId="9" fontId="7" fillId="0" borderId="0" xfId="1" applyFont="1" applyAlignment="1">
      <alignment horizontal="center" vertical="center"/>
    </xf>
    <xf numFmtId="165" fontId="5" fillId="3" borderId="1" xfId="0" applyNumberFormat="1" applyFont="1" applyFill="1" applyBorder="1" applyAlignment="1">
      <alignment horizontal="center" vertical="center" wrapText="1"/>
    </xf>
    <xf numFmtId="165" fontId="4" fillId="9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pivotButton="1" applyFont="1" applyAlignment="1">
      <alignment horizontal="center" vertical="center" wrapText="1"/>
    </xf>
    <xf numFmtId="0" fontId="4" fillId="3" borderId="0" xfId="0" applyFont="1" applyFill="1" applyAlignment="1">
      <alignment horizontal="left" vertical="center" wrapText="1"/>
    </xf>
    <xf numFmtId="1" fontId="0" fillId="0" borderId="0" xfId="0" applyNumberFormat="1" applyAlignment="1">
      <alignment horizontal="center" vertical="center"/>
    </xf>
    <xf numFmtId="165" fontId="6" fillId="0" borderId="0" xfId="0" applyNumberFormat="1" applyFont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3" fontId="0" fillId="0" borderId="0" xfId="0" applyNumberFormat="1" applyFont="1" applyFill="1" applyAlignment="1">
      <alignment horizontal="center" vertical="center"/>
    </xf>
    <xf numFmtId="165" fontId="0" fillId="0" borderId="0" xfId="0" applyNumberFormat="1" applyFont="1" applyFill="1" applyAlignment="1">
      <alignment horizontal="center" vertical="center"/>
    </xf>
  </cellXfs>
  <cellStyles count="4">
    <cellStyle name="Moeda 2" xfId="2" xr:uid="{32496FAE-EC81-48CF-A53D-1743A9AA37F8}"/>
    <cellStyle name="Normal" xfId="0" builtinId="0"/>
    <cellStyle name="Normal 2" xfId="3" xr:uid="{3DED4A4A-4F61-491B-AA9D-EE5EF85C2703}"/>
    <cellStyle name="Porcentagem" xfId="1" builtinId="5"/>
  </cellStyles>
  <dxfs count="192">
    <dxf>
      <alignment horizontal="center"/>
    </dxf>
    <dxf>
      <alignment vertical="center"/>
    </dxf>
    <dxf>
      <numFmt numFmtId="3" formatCode="#,##0"/>
    </dxf>
    <dxf>
      <numFmt numFmtId="164" formatCode="0.0%"/>
    </dxf>
    <dxf>
      <numFmt numFmtId="3" formatCode="#,##0"/>
    </dxf>
    <dxf>
      <alignment horizontal="center" vertical="center" wrapText="1"/>
    </dxf>
    <dxf>
      <alignment horizontal="center" vertical="center" wrapText="1"/>
    </dxf>
    <dxf>
      <numFmt numFmtId="3" formatCode="#,##0"/>
    </dxf>
    <dxf>
      <font>
        <sz val="10"/>
      </font>
    </dxf>
    <dxf>
      <font>
        <sz val="10"/>
      </font>
    </dxf>
    <dxf>
      <numFmt numFmtId="3" formatCode="#,##0"/>
    </dxf>
    <dxf>
      <numFmt numFmtId="1" formatCode="0"/>
    </dxf>
    <dxf>
      <numFmt numFmtId="164" formatCode="0.0%"/>
    </dxf>
    <dxf>
      <alignment wrapText="1"/>
    </dxf>
    <dxf>
      <numFmt numFmtId="3" formatCode="#,##0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numFmt numFmtId="3" formatCode="#,##0"/>
    </dxf>
    <dxf>
      <alignment wrapText="1"/>
    </dxf>
    <dxf>
      <alignment horizontal="left"/>
    </dxf>
    <dxf>
      <numFmt numFmtId="164" formatCode="0.0%"/>
    </dxf>
    <dxf>
      <numFmt numFmtId="3" formatCode="#,##0"/>
    </dxf>
    <dxf>
      <alignment horizontal="left"/>
    </dxf>
    <dxf>
      <fill>
        <patternFill patternType="solid">
          <bgColor theme="8" tint="0.39997558519241921"/>
        </patternFill>
      </fill>
    </dxf>
    <dxf>
      <font>
        <sz val="20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#,##0.0"/>
    </dxf>
    <dxf>
      <alignment horizontal="center"/>
    </dxf>
    <dxf>
      <alignment vertical="center"/>
    </dxf>
    <dxf>
      <numFmt numFmtId="3" formatCode="#,##0"/>
    </dxf>
    <dxf>
      <numFmt numFmtId="164" formatCode="0.0%"/>
    </dxf>
    <dxf>
      <numFmt numFmtId="3" formatCode="#,##0"/>
    </dxf>
    <dxf>
      <alignment horizontal="center" vertical="center" wrapText="1"/>
    </dxf>
    <dxf>
      <alignment horizontal="center" vertical="center" wrapText="1"/>
    </dxf>
    <dxf>
      <numFmt numFmtId="3" formatCode="#,##0"/>
    </dxf>
    <dxf>
      <font>
        <sz val="10"/>
      </font>
    </dxf>
    <dxf>
      <font>
        <sz val="10"/>
      </font>
    </dxf>
    <dxf>
      <numFmt numFmtId="3" formatCode="#,##0"/>
    </dxf>
    <dxf>
      <numFmt numFmtId="1" formatCode="0"/>
    </dxf>
    <dxf>
      <numFmt numFmtId="164" formatCode="0.0%"/>
    </dxf>
    <dxf>
      <alignment wrapText="1"/>
    </dxf>
    <dxf>
      <numFmt numFmtId="3" formatCode="#,##0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numFmt numFmtId="3" formatCode="#,##0"/>
    </dxf>
    <dxf>
      <alignment wrapText="1"/>
    </dxf>
    <dxf>
      <alignment horizontal="left"/>
    </dxf>
    <dxf>
      <numFmt numFmtId="164" formatCode="0.0%"/>
    </dxf>
    <dxf>
      <numFmt numFmtId="3" formatCode="#,##0"/>
    </dxf>
    <dxf>
      <alignment horizontal="left"/>
    </dxf>
    <dxf>
      <fill>
        <patternFill patternType="solid">
          <bgColor theme="8" tint="0.39997558519241921"/>
        </patternFill>
      </fill>
    </dxf>
    <dxf>
      <font>
        <sz val="20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#,##0.0"/>
    </dxf>
    <dxf>
      <alignment horizontal="center"/>
    </dxf>
    <dxf>
      <alignment vertical="center"/>
    </dxf>
    <dxf>
      <numFmt numFmtId="3" formatCode="#,##0"/>
    </dxf>
    <dxf>
      <numFmt numFmtId="164" formatCode="0.0%"/>
    </dxf>
    <dxf>
      <numFmt numFmtId="3" formatCode="#,##0"/>
    </dxf>
    <dxf>
      <alignment horizontal="center" vertical="center" wrapText="1"/>
    </dxf>
    <dxf>
      <alignment horizontal="center" vertical="center" wrapText="1"/>
    </dxf>
    <dxf>
      <numFmt numFmtId="3" formatCode="#,##0"/>
    </dxf>
    <dxf>
      <font>
        <sz val="10"/>
      </font>
    </dxf>
    <dxf>
      <font>
        <sz val="10"/>
      </font>
    </dxf>
    <dxf>
      <numFmt numFmtId="3" formatCode="#,##0"/>
    </dxf>
    <dxf>
      <numFmt numFmtId="1" formatCode="0"/>
    </dxf>
    <dxf>
      <numFmt numFmtId="164" formatCode="0.0%"/>
    </dxf>
    <dxf>
      <alignment wrapText="1"/>
    </dxf>
    <dxf>
      <numFmt numFmtId="3" formatCode="#,##0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numFmt numFmtId="3" formatCode="#,##0"/>
    </dxf>
    <dxf>
      <alignment wrapText="1"/>
    </dxf>
    <dxf>
      <alignment horizontal="left"/>
    </dxf>
    <dxf>
      <numFmt numFmtId="164" formatCode="0.0%"/>
    </dxf>
    <dxf>
      <numFmt numFmtId="3" formatCode="#,##0"/>
    </dxf>
    <dxf>
      <alignment horizontal="left"/>
    </dxf>
    <dxf>
      <fill>
        <patternFill patternType="solid">
          <bgColor theme="8" tint="0.39997558519241921"/>
        </patternFill>
      </fill>
    </dxf>
    <dxf>
      <font>
        <sz val="20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#,##0.0"/>
    </dxf>
    <dxf>
      <alignment horizontal="center"/>
    </dxf>
    <dxf>
      <alignment vertical="center"/>
    </dxf>
    <dxf>
      <numFmt numFmtId="3" formatCode="#,##0"/>
    </dxf>
    <dxf>
      <numFmt numFmtId="164" formatCode="0.0%"/>
    </dxf>
    <dxf>
      <numFmt numFmtId="3" formatCode="#,##0"/>
    </dxf>
    <dxf>
      <alignment horizontal="center" vertical="center" wrapText="1"/>
    </dxf>
    <dxf>
      <alignment horizontal="center" vertical="center" wrapText="1"/>
    </dxf>
    <dxf>
      <numFmt numFmtId="3" formatCode="#,##0"/>
    </dxf>
    <dxf>
      <font>
        <sz val="10"/>
      </font>
    </dxf>
    <dxf>
      <font>
        <sz val="10"/>
      </font>
    </dxf>
    <dxf>
      <numFmt numFmtId="3" formatCode="#,##0"/>
    </dxf>
    <dxf>
      <numFmt numFmtId="1" formatCode="0"/>
    </dxf>
    <dxf>
      <numFmt numFmtId="164" formatCode="0.0%"/>
    </dxf>
    <dxf>
      <alignment wrapText="1"/>
    </dxf>
    <dxf>
      <numFmt numFmtId="3" formatCode="#,##0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numFmt numFmtId="3" formatCode="#,##0"/>
    </dxf>
    <dxf>
      <alignment wrapText="1"/>
    </dxf>
    <dxf>
      <alignment horizontal="left"/>
    </dxf>
    <dxf>
      <numFmt numFmtId="164" formatCode="0.0%"/>
    </dxf>
    <dxf>
      <numFmt numFmtId="3" formatCode="#,##0"/>
    </dxf>
    <dxf>
      <alignment horizontal="left"/>
    </dxf>
    <dxf>
      <fill>
        <patternFill patternType="solid">
          <bgColor theme="8" tint="0.39997558519241921"/>
        </patternFill>
      </fill>
    </dxf>
    <dxf>
      <font>
        <sz val="20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#,##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#,##0.0"/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20"/>
      </font>
      <numFmt numFmtId="3" formatCode="#,##0"/>
    </dxf>
    <dxf>
      <fill>
        <patternFill patternType="solid">
          <bgColor theme="8" tint="0.39997558519241921"/>
        </patternFill>
      </fill>
    </dxf>
    <dxf>
      <alignment horizontal="left"/>
    </dxf>
    <dxf>
      <numFmt numFmtId="3" formatCode="#,##0"/>
    </dxf>
    <dxf>
      <numFmt numFmtId="164" formatCode="0.0%"/>
    </dxf>
    <dxf>
      <alignment horizontal="left"/>
    </dxf>
    <dxf>
      <alignment wrapText="1"/>
    </dxf>
    <dxf>
      <numFmt numFmtId="3" formatCode="#,##0"/>
    </dxf>
    <dxf>
      <numFmt numFmtId="165" formatCode="#,##0.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numFmt numFmtId="3" formatCode="#,##0"/>
    </dxf>
    <dxf>
      <alignment wrapText="1"/>
    </dxf>
    <dxf>
      <numFmt numFmtId="164" formatCode="0.0%"/>
    </dxf>
    <dxf>
      <numFmt numFmtId="1" formatCode="0"/>
    </dxf>
    <dxf>
      <numFmt numFmtId="3" formatCode="#,##0"/>
    </dxf>
    <dxf>
      <font>
        <sz val="10"/>
      </font>
    </dxf>
    <dxf>
      <font>
        <sz val="10"/>
      </font>
    </dxf>
    <dxf>
      <numFmt numFmtId="3" formatCode="#,##0"/>
    </dxf>
    <dxf>
      <alignment horizontal="center" vertical="center" wrapText="1"/>
    </dxf>
    <dxf>
      <alignment horizontal="center" vertical="center" wrapText="1"/>
    </dxf>
    <dxf>
      <numFmt numFmtId="3" formatCode="#,##0"/>
    </dxf>
    <dxf>
      <numFmt numFmtId="164" formatCode="0.0%"/>
    </dxf>
    <dxf>
      <numFmt numFmtId="3" formatCode="#,##0"/>
    </dxf>
    <dxf>
      <alignment vertical="center"/>
    </dxf>
    <dxf>
      <alignment horizontal="center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calcChain" Target="calcChain.xml"/><Relationship Id="rId5" Type="http://schemas.microsoft.com/office/2007/relationships/slicerCache" Target="slicerCaches/slicerCache1.xml"/><Relationship Id="rId10" Type="http://schemas.microsoft.com/office/2017/10/relationships/person" Target="persons/person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181806</xdr:colOff>
      <xdr:row>0</xdr:row>
      <xdr:rowOff>0</xdr:rowOff>
    </xdr:from>
    <xdr:to>
      <xdr:col>21</xdr:col>
      <xdr:colOff>299359</xdr:colOff>
      <xdr:row>8</xdr:row>
      <xdr:rowOff>81643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Responsável">
              <a:extLst>
                <a:ext uri="{FF2B5EF4-FFF2-40B4-BE49-F238E27FC236}">
                  <a16:creationId xmlns:a16="http://schemas.microsoft.com/office/drawing/2014/main" id="{3BEFAC99-2D45-4F6A-2AD3-1A2B699A56A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onsáve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78806" y="0"/>
              <a:ext cx="1423130" cy="25246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18</xdr:col>
      <xdr:colOff>261938</xdr:colOff>
      <xdr:row>21</xdr:row>
      <xdr:rowOff>119063</xdr:rowOff>
    </xdr:from>
    <xdr:to>
      <xdr:col>20</xdr:col>
      <xdr:colOff>468312</xdr:colOff>
      <xdr:row>26</xdr:row>
      <xdr:rowOff>17009</xdr:rowOff>
    </xdr:to>
    <xdr:sp macro="[0]!a" textlink="">
      <xdr:nvSpPr>
        <xdr:cNvPr id="3" name="Retângulo 2">
          <a:extLst>
            <a:ext uri="{FF2B5EF4-FFF2-40B4-BE49-F238E27FC236}">
              <a16:creationId xmlns:a16="http://schemas.microsoft.com/office/drawing/2014/main" id="{B419A7AB-1D14-B803-E753-D2B4B9909196}"/>
            </a:ext>
          </a:extLst>
        </xdr:cNvPr>
        <xdr:cNvSpPr/>
      </xdr:nvSpPr>
      <xdr:spPr>
        <a:xfrm>
          <a:off x="14894152" y="3511777"/>
          <a:ext cx="1421946" cy="80508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Atualizar</a:t>
          </a:r>
        </a:p>
      </xdr:txBody>
    </xdr:sp>
    <xdr:clientData/>
  </xdr:twoCellAnchor>
  <xdr:twoCellAnchor editAs="oneCell">
    <xdr:from>
      <xdr:col>18</xdr:col>
      <xdr:colOff>167822</xdr:colOff>
      <xdr:row>8</xdr:row>
      <xdr:rowOff>54429</xdr:rowOff>
    </xdr:from>
    <xdr:to>
      <xdr:col>21</xdr:col>
      <xdr:colOff>335643</xdr:colOff>
      <xdr:row>18</xdr:row>
      <xdr:rowOff>63501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ompetência">
              <a:extLst>
                <a:ext uri="{FF2B5EF4-FFF2-40B4-BE49-F238E27FC236}">
                  <a16:creationId xmlns:a16="http://schemas.microsoft.com/office/drawing/2014/main" id="{4895A3F6-2F62-9EAB-06EA-FC6EF87991C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petênc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800036" y="1088572"/>
              <a:ext cx="1991178" cy="182335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ulliano Brito Barros" id="{6F94681E-A809-4CE5-92D7-06C1920C6C06}" userId="S::Julliano@coffeemaisind.onmicrosoft.com::f76082f1-a614-4efd-8c89-b08b062e701e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lliano Brito" refreshedDate="46111.617322685182" createdVersion="8" refreshedVersion="8" minRefreshableVersion="3" recordCount="379" xr:uid="{8371F0E1-2F99-4FAB-8F25-62CA465FED3B}">
  <cacheSource type="worksheet">
    <worksheetSource ref="B1:AM1998" sheet="Análise"/>
  </cacheSource>
  <cacheFields count="42">
    <cacheField name="Rede" numFmtId="0">
      <sharedItems containsBlank="1" count="114">
        <s v="MG ABC"/>
        <s v="MG BEM HORTIFRUT"/>
        <s v="MT BIG LAR"/>
        <s v="MT BOM GOSTO"/>
        <s v="SP CASA SANTA LUZIA"/>
        <s v="ES CASAGRANDE"/>
        <s v="MG COELHO DINIZ"/>
        <s v="DF EMPÓRIO PRIME"/>
        <s v="MT FORT"/>
        <s v="MG Hiper Monlevade"/>
        <s v="SP INFANGER"/>
        <s v="MT MERCADO CURIO"/>
        <s v="SC MONIARI"/>
        <s v="ES ORIUNDI"/>
        <s v="MG PANELÃO"/>
        <s v="MG SUPER LUNA"/>
        <s v="MG SUPERMAXI"/>
        <s v="SP SuperVille"/>
        <s v="MG VIA BAHIA"/>
        <s v="SC ANGELONI"/>
        <s v="SC BISTEK"/>
        <s v="PR FESTVAL"/>
        <s v="SC FORT"/>
        <s v="SC HIPERBOM / HIPERSELECT"/>
        <s v="SC IMPERATRIZ"/>
        <s v="RS ZAFFARI"/>
        <s v="SP DUFRY"/>
        <s v="DF ASSAI"/>
        <s v="MG ASSAI"/>
        <s v="MG BAHAMAS"/>
        <s v="MG BH"/>
        <s v="SP BOA"/>
        <s v="ES Carone"/>
        <s v="PR CIRCUITO"/>
        <s v="DF DONA"/>
        <s v="MG EPA"/>
        <s v="SP FORT"/>
        <s v="BA HIPERIDEAL"/>
        <s v="PR ÍTALO"/>
        <s v="SP MAMBO"/>
        <s v="PE MATEUS"/>
        <s v="CE MERCADINHO SÃO LUIZ"/>
        <s v="REDE OBA"/>
        <s v="DF SUPER ADEGA"/>
        <s v="MG SUPERNOSSO"/>
        <s v="MG VERDEMAR"/>
        <s v="SP ZAFFARI"/>
        <s v="RJ ZONA SUL"/>
        <s v="AM Pátio Gourmet"/>
        <s v="AC ARASUPER"/>
        <s v="RS Supermercado Apolo"/>
        <s v="MG SUPERMERCADO MONTEREY"/>
        <s v="RJ ZONA SUL - Me Bebe"/>
        <s v="PR MUFFATO"/>
        <s v="SP CONFIANÇA"/>
        <s v="SC BRASIL ATACADISTA"/>
        <s v="MG Cevaroli"/>
        <s v="ARASUPER"/>
        <s v="EMPÓRIO PRIME"/>
        <s v="GO ASSAI"/>
        <s v="MATEUS"/>
        <s v="SC HIPPO"/>
        <s v="MG SUPERNOSSO - PRIVATE"/>
        <s v="SP ARMAZEM DA MARIA"/>
        <s v="AM PATIO GOURMERT"/>
        <s v="SP SUPER CREMA"/>
        <s v="BA REDEMIX"/>
        <m/>
        <s v="MG BONÍSSIMA" u="1"/>
        <s v="ABC" u="1"/>
        <s v="BEM HORTIFRUT" u="1"/>
        <s v="BIG LAR" u="1"/>
        <s v="BOM GOSTO" u="1"/>
        <s v="BONÍSSIMA" u="1"/>
        <s v="CASA SANTA LUZIA" u="1"/>
        <s v="CASAGRANDE" u="1"/>
        <s v="COELHO DINIZ" u="1"/>
        <s v="FORT" u="1"/>
        <s v="Hiper Monlevade" u="1"/>
        <s v="INFANGER" u="1"/>
        <s v="MERCADO CURIO" u="1"/>
        <s v="MONIARI" u="1"/>
        <s v="ORIUNDI" u="1"/>
        <s v="PANELÃO" u="1"/>
        <s v="SUPER LUNA" u="1"/>
        <s v="SUPERMAXI" u="1"/>
        <s v="SuperVille" u="1"/>
        <s v="VIA BAHIA" u="1"/>
        <s v="ANGELONI" u="1"/>
        <s v="BISTEK" u="1"/>
        <s v="FESTVAL" u="1"/>
        <s v="HIPERBOM / HIPERSELECT" u="1"/>
        <s v="IMPERATRIZ" u="1"/>
        <s v="DUFRY" u="1"/>
        <s v="ASSAI" u="1"/>
        <s v="BAHAMAS" u="1"/>
        <s v="BH" u="1"/>
        <s v="BOA" u="1"/>
        <s v="Carone" u="1"/>
        <s v="CIRCUITO" u="1"/>
        <s v="DONA" u="1"/>
        <s v="EPA" u="1"/>
        <s v="HIPERIDEAL" u="1"/>
        <s v="ÍTALO" u="1"/>
        <s v="MAMBO" u="1"/>
        <s v="MERCADINHO SÃO LUIZ" u="1"/>
        <s v="SUPER ADEGA" u="1"/>
        <s v="SUPERNOSSO" u="1"/>
        <s v="VERDEMAR" u="1"/>
        <s v="ZONA SUL" u="1"/>
        <s v="Pátio Gourmet" u="1"/>
        <s v="Supermercado Apolo" u="1"/>
        <s v="SUPERMERCADO MONTEREY" u="1"/>
        <s v="ZAFFARI" u="1"/>
      </sharedItems>
    </cacheField>
    <cacheField name="Responsável" numFmtId="0">
      <sharedItems containsBlank="1" containsMixedTypes="1" containsNumber="1" containsInteger="1" minValue="0" maxValue="0" count="6">
        <s v="Luisa"/>
        <s v="Julliano"/>
        <s v="Leandro"/>
        <s v="Luiz"/>
        <m/>
        <n v="0" u="1"/>
      </sharedItems>
    </cacheField>
    <cacheField name="Rede_UF" numFmtId="0">
      <sharedItems containsBlank="1" count="74">
        <s v="MG ABC"/>
        <s v="MG BEM HORTIFRUT"/>
        <s v="MT BIG LAR"/>
        <s v="MT BOM GOSTO"/>
        <s v="SP CASA SANTA LUZIA"/>
        <s v="ES CASAGRANDE"/>
        <s v="MG COELHO DINIZ"/>
        <s v="DF EMPÓRIO PRIME"/>
        <s v="GO EMPÓRIO PRIME"/>
        <s v="MT FORT"/>
        <s v="MG Hiper Monlevade"/>
        <s v="SP INFANGER"/>
        <s v="MT MERCADO CURIO"/>
        <s v="SC MONIARI"/>
        <s v="ES ORIUNDI"/>
        <s v="MG PANELÃO"/>
        <s v="MG SUPER LUNA"/>
        <s v="MG SUPERMAXI"/>
        <s v="SP SuperVille"/>
        <s v="MG VIA BAHIA"/>
        <s v="SC ANGELONI"/>
        <s v="SC BISTEK"/>
        <s v="PR FESTVAL"/>
        <s v="SC FORT"/>
        <s v="SC HIPERBOM / HIPERSELECT"/>
        <s v="SC IMPERATRIZ"/>
        <s v="RS ZAFFARI"/>
        <s v="SP DUFRY"/>
        <s v="DF ASSAI"/>
        <s v="GO ASSAI"/>
        <s v="MG ASSAI"/>
        <s v="MG BAHAMAS"/>
        <s v="MG BH"/>
        <s v="SP BOA"/>
        <s v="ES Carone"/>
        <s v="RJ Carone"/>
        <s v="PR CIRCUITO"/>
        <s v="DF DONA"/>
        <s v="MG EPA"/>
        <s v="SP FORT"/>
        <s v="BA HIPERIDEAL"/>
        <s v="PR ÍTALO"/>
        <s v="SP MAMBO"/>
        <s v="MA MATEUS"/>
        <s v="PB MATEUS"/>
        <s v="PE MATEUS"/>
        <s v="CE MERCADINHO SÃO LUIZ"/>
        <s v="DF REDE OBA"/>
        <s v="SP REDE OBA"/>
        <s v="DF SUPER ADEGA"/>
        <s v="MG SUPERNOSSO"/>
        <s v="MG VERDEMAR"/>
        <s v="SP ZAFFARI"/>
        <s v="RJ ZONA SUL"/>
        <s v="AM Pátio Gourmet"/>
        <s v="AC ARASUPER"/>
        <s v="RS Supermercado Apolo"/>
        <s v="RO ARASUPER"/>
        <s v="MG SUPERMERCADO MONTEREY"/>
        <s v="RJ ZONA SUL - Me Bebe"/>
        <s v="PR MUFFATO"/>
        <s v="SP CONFIANÇA"/>
        <s v="PI MATEUS"/>
        <s v="SC BRASIL ATACADISTA"/>
        <s v="MG Cevaroli"/>
        <s v="SC HIPPO"/>
        <s v="MG SUPERNOSSO - PRIVATE"/>
        <s v="SP ARMAZEM DA MARIA"/>
        <s v="GO SUPER ADEGA"/>
        <s v="AM PATIO GOURMERT"/>
        <s v="SP SUPER CREMA"/>
        <s v="BA REDEMIX"/>
        <m/>
        <s v="MG BONÍSSIMA" u="1"/>
      </sharedItems>
    </cacheField>
    <cacheField name="CPV" numFmtId="10">
      <sharedItems containsString="0" containsBlank="1" containsNumber="1" minValue="0" maxValue="0.63172944031515599"/>
    </cacheField>
    <cacheField name="Faturamento Bruto" numFmtId="3">
      <sharedItems containsString="0" containsBlank="1" containsNumber="1" minValue="-23.417279999999998" maxValue="1190.6977000000004"/>
    </cacheField>
    <cacheField name="Investimento" numFmtId="165">
      <sharedItems containsString="0" containsBlank="1" containsNumber="1" minValue="0" maxValue="274.99695999999994"/>
    </cacheField>
    <cacheField name="Faturamento Líquido" numFmtId="3">
      <sharedItems containsString="0" containsBlank="1" containsNumber="1" minValue="-124.33771" maxValue="1187.2233400000005"/>
    </cacheField>
    <cacheField name="Despesas" numFmtId="3">
      <sharedItems containsString="0" containsBlank="1" containsNumber="1" minValue="-1.4588965439999999" maxValue="858.80106261266872"/>
    </cacheField>
    <cacheField name="CPV Custo" numFmtId="3">
      <sharedItems containsString="0" containsBlank="1" containsNumber="1" minValue="0" maxValue="635.18119999999999"/>
    </cacheField>
    <cacheField name="DGA" numFmtId="3">
      <sharedItems containsString="0" containsBlank="1" containsNumber="1" minValue="0" maxValue="61.222641509433963"/>
    </cacheField>
    <cacheField name="Custo Rede" numFmtId="3">
      <sharedItems containsString="0" containsBlank="1" containsNumber="1" minValue="0" maxValue="41.149609729729725"/>
    </cacheField>
    <cacheField name=" Contrato +Frete+ICMS" numFmtId="3">
      <sharedItems containsString="0" containsBlank="1" containsNumber="1" minValue="-1.4588965439999999" maxValue="170.13844080000001"/>
    </cacheField>
    <cacheField name="Contrato" numFmtId="164">
      <sharedItems containsString="0" containsBlank="1" containsNumber="1" minValue="0" maxValue="0.11"/>
    </cacheField>
    <cacheField name="Frete" numFmtId="0">
      <sharedItems containsString="0" containsBlank="1" containsNumber="1" minValue="1.6E-2" maxValue="2.5899999999999999E-2"/>
    </cacheField>
    <cacheField name="ICMS" numFmtId="0">
      <sharedItems containsString="0" containsBlank="1" containsNumber="1" minValue="3.5000000000000003E-2" maxValue="4.4699999999999997E-2"/>
    </cacheField>
    <cacheField name="Lucro" numFmtId="166">
      <sharedItems containsString="0" containsBlank="1" containsNumber="1" minValue="-198.15262881249183" maxValue="426.82551357906937"/>
    </cacheField>
    <cacheField name="% Lucro" numFmtId="0">
      <sharedItems containsString="0" containsBlank="1" containsNumber="1" minValue="-44.755076922396263" maxValue="82.323140005612174"/>
    </cacheField>
    <cacheField name="Investimento Custo" numFmtId="3">
      <sharedItems containsString="0" containsBlank="1" containsNumber="1" minValue="0" maxValue="121.64068733687627"/>
    </cacheField>
    <cacheField name="% Investimento" numFmtId="3">
      <sharedItems containsString="0" containsBlank="1" containsNumber="1" minValue="0" maxValue="3.0273029144768273"/>
    </cacheField>
    <cacheField name="Check" numFmtId="1">
      <sharedItems containsString="0" containsBlank="1" containsNumber="1" containsInteger="1" minValue="1" maxValue="1" count="2">
        <n v="1"/>
        <m/>
      </sharedItems>
    </cacheField>
    <cacheField name="Lojas" numFmtId="0">
      <sharedItems containsString="0" containsBlank="1" containsNumber="1" containsInteger="1" minValue="0" maxValue="105"/>
    </cacheField>
    <cacheField name="Valor Contrato" numFmtId="3">
      <sharedItems containsString="0" containsBlank="1" containsNumber="1" minValue="0" maxValue="104.82960000000001"/>
    </cacheField>
    <cacheField name="Equilíbrio" numFmtId="3">
      <sharedItems containsString="0" containsBlank="1" containsNumber="1" minValue="0" maxValue="971.66243894689114"/>
    </cacheField>
    <cacheField name="Valor Loja" numFmtId="165">
      <sharedItems containsString="0" containsBlank="1" containsNumber="1" minValue="0" maxValue="76.8743087078212"/>
    </cacheField>
    <cacheField name="%Custo" numFmtId="0">
      <sharedItems containsString="0" containsBlank="1" containsNumber="1" minValue="5.2999999999999999E-2" maxValue="0.76821779421079539"/>
    </cacheField>
    <cacheField name="FixoCusto" numFmtId="0">
      <sharedItems containsString="0" containsBlank="1" containsNumber="1" minValue="0" maxValue="87.436808319966048"/>
    </cacheField>
    <cacheField name="Faturametno Gestor" numFmtId="3">
      <sharedItems containsString="0" containsBlank="1" containsNumber="1" minValue="0" maxValue="3566.4392600000001"/>
    </cacheField>
    <cacheField name="% Rede/Gestor" numFmtId="9">
      <sharedItems containsBlank="1" containsMixedTypes="1" containsNumber="1" minValue="-6.8541501299381122E-2" maxValue="1"/>
    </cacheField>
    <cacheField name="% Rede" numFmtId="9">
      <sharedItems containsString="0" containsBlank="1" containsNumber="1" minValue="-3.9421154413551065E-3" maxValue="0.20094585961098069"/>
    </cacheField>
    <cacheField name="Gestor" numFmtId="3">
      <sharedItems containsString="0" containsBlank="1" containsNumber="1" minValue="0" maxValue="18307.449599268664"/>
    </cacheField>
    <cacheField name="Promotor+ Agência" numFmtId="3">
      <sharedItems containsString="0" containsBlank="1" containsNumber="1" minValue="0" maxValue="36419.879999999997"/>
    </cacheField>
    <cacheField name="Faturamento Tipo" numFmtId="3">
      <sharedItems containsString="0" containsBlank="1" containsNumber="1" minValue="4415.8599000000004" maxValue="6520.6734200000001"/>
    </cacheField>
    <cacheField name="%Rede/Tipo" numFmtId="9">
      <sharedItems containsString="0" containsBlank="1" containsNumber="1" minValue="-3.9421154413551065E-3" maxValue="0.20094585961098069"/>
    </cacheField>
    <cacheField name="DGA2" numFmtId="3">
      <sharedItems containsString="0" containsBlank="1" containsNumber="1" minValue="0" maxValue="61222.641509433961"/>
    </cacheField>
    <cacheField name="Pessoas" numFmtId="0">
      <sharedItems containsString="0" containsBlank="1" containsNumber="1" minValue="0" maxValue="41149.609729729724"/>
    </cacheField>
    <cacheField name="Responsável2" numFmtId="0">
      <sharedItems containsBlank="1"/>
    </cacheField>
    <cacheField name="Responsável Variável" numFmtId="0">
      <sharedItems containsBlank="1"/>
    </cacheField>
    <cacheField name="Competência" numFmtId="0">
      <sharedItems containsBlank="1" count="7">
        <s v="2025_09"/>
        <s v="2025_10"/>
        <s v="2025_11"/>
        <s v="2025_12"/>
        <s v="2026-01"/>
        <s v="2026-02"/>
        <m/>
      </sharedItems>
    </cacheField>
    <cacheField name=" CPV" numFmtId="0" formula="'CPV Custo'/'Faturamento Bruto'" databaseField="0"/>
    <cacheField name=" % Investimento" numFmtId="0" formula="Investimento/'Faturamento Bruto'" databaseField="0"/>
    <cacheField name=" Lucro" numFmtId="0" formula="'Faturamento Líquido'-Despesas" databaseField="0"/>
    <cacheField name=" % Lucro" numFmtId="0" formula="' Lucro'/'Faturamento Líquido'" databaseField="0"/>
  </cacheFields>
  <extLst>
    <ext xmlns:x14="http://schemas.microsoft.com/office/spreadsheetml/2009/9/main" uri="{725AE2AE-9491-48be-B2B4-4EB974FC3084}">
      <x14:pivotCacheDefinition pivotCacheId="19992917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9">
  <r>
    <x v="0"/>
    <x v="0"/>
    <x v="0"/>
    <n v="0.51684636844876086"/>
    <n v="0"/>
    <n v="0"/>
    <n v="0"/>
    <n v="4.1875357607282186"/>
    <n v="0"/>
    <n v="3.4525357607282183"/>
    <n v="0.73499999999999999"/>
    <n v="0"/>
    <n v="0.03"/>
    <n v="0.02"/>
    <n v="3.5000000000000003E-2"/>
    <n v="-4.1875357607282186"/>
    <n v="0"/>
    <n v="0"/>
    <n v="0"/>
    <x v="0"/>
    <n v="9"/>
    <n v="0"/>
    <n v="10.517386829835599"/>
    <n v="1.1685985366484"/>
    <n v="0.60184636844876083"/>
    <n v="4.1875357607282186"/>
    <n v="0"/>
    <e v="#DIV/0!"/>
    <n v="0"/>
    <n v="0"/>
    <n v="735"/>
    <n v="4432.8756099999982"/>
    <n v="0"/>
    <n v="3452.5357607282185"/>
    <n v="735"/>
    <s v="Luisa"/>
    <s v="Luisa"/>
    <x v="0"/>
  </r>
  <r>
    <x v="1"/>
    <x v="0"/>
    <x v="1"/>
    <n v="0"/>
    <n v="0"/>
    <n v="0"/>
    <n v="0"/>
    <n v="6.4467143476376245"/>
    <n v="0"/>
    <n v="4.6033810143042908"/>
    <n v="1.8433333333333335"/>
    <n v="0"/>
    <n v="0"/>
    <n v="0.02"/>
    <n v="3.5000000000000003E-2"/>
    <n v="-6.4467143476376245"/>
    <n v="0"/>
    <n v="0"/>
    <n v="0"/>
    <x v="0"/>
    <n v="12"/>
    <n v="0"/>
    <n v="6.8219199445900793"/>
    <n v="0.56849332871583991"/>
    <n v="5.5000000000000007E-2"/>
    <n v="6.4467143476376245"/>
    <n v="0"/>
    <e v="#DIV/0!"/>
    <n v="0"/>
    <n v="0"/>
    <n v="1843.3333333333335"/>
    <n v="4432.8756099999982"/>
    <n v="0"/>
    <n v="4603.3810143042911"/>
    <n v="1843.3333333333335"/>
    <s v="Luisa"/>
    <s v="Luisa"/>
    <x v="0"/>
  </r>
  <r>
    <x v="2"/>
    <x v="0"/>
    <x v="2"/>
    <n v="0"/>
    <n v="0"/>
    <n v="0"/>
    <n v="0"/>
    <n v="1.0172301690507153"/>
    <n v="0"/>
    <n v="0.76723016905071517"/>
    <n v="0.25"/>
    <n v="0"/>
    <n v="0"/>
    <n v="0.02"/>
    <n v="3.5000000000000003E-2"/>
    <n v="-1.0172301690507153"/>
    <n v="0"/>
    <n v="0"/>
    <n v="0"/>
    <x v="0"/>
    <n v="2"/>
    <n v="0"/>
    <n v="1.0764340413235083"/>
    <n v="0.53821702066175414"/>
    <n v="5.5000000000000007E-2"/>
    <n v="1.0172301690507153"/>
    <n v="2992.2630099999983"/>
    <n v="0"/>
    <n v="0"/>
    <n v="0"/>
    <n v="250"/>
    <n v="4432.8756099999982"/>
    <n v="0"/>
    <n v="767.23016905071518"/>
    <n v="250"/>
    <s v="Luisa"/>
    <s v="Luiz"/>
    <x v="0"/>
  </r>
  <r>
    <x v="3"/>
    <x v="0"/>
    <x v="3"/>
    <n v="0"/>
    <n v="0"/>
    <n v="0"/>
    <n v="0"/>
    <n v="0"/>
    <n v="0"/>
    <n v="0"/>
    <n v="0"/>
    <n v="0"/>
    <n v="0"/>
    <n v="0.02"/>
    <n v="3.5000000000000003E-2"/>
    <n v="0"/>
    <n v="0"/>
    <n v="0"/>
    <n v="0"/>
    <x v="0"/>
    <n v="0"/>
    <n v="0"/>
    <n v="0"/>
    <n v="0"/>
    <n v="5.5000000000000007E-2"/>
    <n v="0"/>
    <n v="0"/>
    <e v="#DIV/0!"/>
    <n v="0"/>
    <n v="0"/>
    <n v="0"/>
    <n v="4432.8756099999982"/>
    <n v="0"/>
    <n v="0"/>
    <n v="0"/>
    <s v="Luisa"/>
    <s v="Luisa"/>
    <x v="0"/>
  </r>
  <r>
    <x v="4"/>
    <x v="1"/>
    <x v="4"/>
    <n v="0.42005658280286956"/>
    <n v="3.9588000000000001"/>
    <n v="0"/>
    <n v="3.9588000000000001"/>
    <n v="2.7039169042773032"/>
    <n v="1.66292"/>
    <n v="0.38361508452535759"/>
    <n v="0.43964781975194561"/>
    <n v="0.21773400000000004"/>
    <n v="0"/>
    <n v="0.02"/>
    <n v="3.5000000000000003E-2"/>
    <n v="1.2548830957226969"/>
    <n v="0.31698572691792887"/>
    <n v="0"/>
    <n v="0"/>
    <x v="0"/>
    <n v="1"/>
    <n v="0"/>
    <n v="1.5682888427728312"/>
    <n v="1.5682888427728312"/>
    <n v="0.47505658280286955"/>
    <n v="0.8232629042773032"/>
    <n v="180.08960000000002"/>
    <n v="2.1982390987597283E-2"/>
    <n v="8.9305461021045921E-4"/>
    <n v="439.64781975194563"/>
    <n v="0"/>
    <n v="4432.8756099999982"/>
    <n v="8.9305461021045921E-4"/>
    <n v="383.61508452535759"/>
    <n v="439.64781975194563"/>
    <s v="Emerson"/>
    <s v="Emerson"/>
    <x v="0"/>
  </r>
  <r>
    <x v="5"/>
    <x v="0"/>
    <x v="5"/>
    <n v="0"/>
    <n v="0"/>
    <n v="0"/>
    <n v="0"/>
    <n v="0"/>
    <n v="0"/>
    <n v="0"/>
    <n v="0"/>
    <n v="0"/>
    <n v="0"/>
    <n v="0.02"/>
    <n v="3.5000000000000003E-2"/>
    <n v="0"/>
    <n v="0"/>
    <n v="0"/>
    <n v="0"/>
    <x v="0"/>
    <n v="0"/>
    <n v="0"/>
    <n v="0"/>
    <n v="0"/>
    <n v="5.5000000000000007E-2"/>
    <n v="0"/>
    <n v="0"/>
    <e v="#DIV/0!"/>
    <n v="0"/>
    <n v="0"/>
    <n v="0"/>
    <n v="4432.8756099999982"/>
    <n v="0"/>
    <n v="0"/>
    <n v="0"/>
    <s v="Luisa"/>
    <s v="Luisa"/>
    <x v="0"/>
  </r>
  <r>
    <x v="6"/>
    <x v="0"/>
    <x v="6"/>
    <n v="0.51188018027409643"/>
    <n v="125.47116000000001"/>
    <n v="0"/>
    <n v="125.47116000000001"/>
    <n v="84.05838650572241"/>
    <n v="64.226200000000006"/>
    <n v="6.1378413524057214"/>
    <n v="3.0292965533166827"/>
    <n v="10.665048600000002"/>
    <n v="0.03"/>
    <n v="0.02"/>
    <n v="3.5000000000000003E-2"/>
    <n v="41.412773494277602"/>
    <n v="0.33005810653442269"/>
    <n v="0"/>
    <n v="0"/>
    <x v="0"/>
    <n v="16"/>
    <n v="3.7641348000000003"/>
    <n v="22.740479274761256"/>
    <n v="1.4212799546725785"/>
    <n v="0.59688018027409639"/>
    <n v="9.1671379057224041"/>
    <n v="2992.2630099999983"/>
    <n v="4.1931862132667301E-2"/>
    <n v="2.8304687755495144E-2"/>
    <n v="1048.2965533166825"/>
    <n v="1981"/>
    <n v="4432.8756099999982"/>
    <n v="2.8304687755495144E-2"/>
    <n v="6137.8413524057214"/>
    <n v="3029.2965533166825"/>
    <s v="Luisa"/>
    <s v="Luiz"/>
    <x v="0"/>
  </r>
  <r>
    <x v="7"/>
    <x v="0"/>
    <x v="7"/>
    <n v="0.45762931755564124"/>
    <n v="5.85806"/>
    <n v="1"/>
    <n v="4.85806"/>
    <n v="3.6150589555227639"/>
    <n v="2.6808199999999998"/>
    <n v="0.38361508452535759"/>
    <n v="0.22843057099740638"/>
    <n v="0.32219330000000007"/>
    <n v="0"/>
    <n v="0.02"/>
    <n v="3.5000000000000003E-2"/>
    <n v="1.2430010444772361"/>
    <n v="0.25586366666472543"/>
    <n v="0.45762931755564124"/>
    <n v="0.17070497741573148"/>
    <x v="0"/>
    <n v="1"/>
    <n v="0"/>
    <n v="3.3076377254325404"/>
    <n v="3.3076377254325404"/>
    <n v="0.51262931755564123"/>
    <n v="0.61204565552276402"/>
    <n v="2992.2630099999983"/>
    <n v="1.9577356604090772E-3"/>
    <n v="1.3215033570499856E-3"/>
    <n v="48.943391510226931"/>
    <n v="179.48717948717947"/>
    <n v="4432.8756099999982"/>
    <n v="1.3215033570499856E-3"/>
    <n v="383.61508452535759"/>
    <n v="228.43057099740639"/>
    <s v="Luisa"/>
    <s v="Luiz"/>
    <x v="0"/>
  </r>
  <r>
    <x v="7"/>
    <x v="0"/>
    <x v="8"/>
    <n v="0.46384400677682985"/>
    <n v="41.860279999999975"/>
    <n v="9"/>
    <n v="32.860279999999975"/>
    <n v="24.403153376972934"/>
    <n v="19.416639999999983"/>
    <n v="1.5344603381014303"/>
    <n v="1.1497376388715244"/>
    <n v="2.302315399999999"/>
    <n v="0"/>
    <n v="0.02"/>
    <n v="3.5000000000000003E-2"/>
    <n v="8.4571266230270403"/>
    <n v="0.25736623738528847"/>
    <n v="4.174596060991469"/>
    <n v="0.21500095078198248"/>
    <x v="0"/>
    <n v="4"/>
    <n v="0"/>
    <n v="24.283596466715068"/>
    <n v="6.0708991166787669"/>
    <n v="0.51884400677682985"/>
    <n v="2.6841979769729547"/>
    <n v="2992.2630099999983"/>
    <n v="1.3989505554860967E-2"/>
    <n v="9.4431433865566992E-3"/>
    <n v="349.73763887152415"/>
    <n v="800"/>
    <n v="4432.8756099999982"/>
    <n v="9.4431433865566992E-3"/>
    <n v="1534.4603381014304"/>
    <n v="1149.7376388715243"/>
    <s v="Luisa"/>
    <s v="Luiz"/>
    <x v="0"/>
  </r>
  <r>
    <x v="8"/>
    <x v="0"/>
    <x v="9"/>
    <n v="0.45778417367192586"/>
    <n v="11.3962"/>
    <n v="16.160869999999999"/>
    <n v="-4.7646699999999989"/>
    <n v="10.399968481314833"/>
    <n v="5.2170000000000014"/>
    <n v="2.685305591677503"/>
    <n v="0.84521388963732835"/>
    <n v="1.6524490000000003"/>
    <n v="0.09"/>
    <n v="0.02"/>
    <n v="3.5000000000000003E-2"/>
    <n v="-15.164638481314832"/>
    <n v="3.182725872162151"/>
    <n v="7.3981905187694164"/>
    <n v="1.4180928730629507"/>
    <x v="0"/>
    <n v="7"/>
    <n v="1.025658"/>
    <n v="49.573526974856847"/>
    <n v="7.0819324249795494"/>
    <n v="0.60278417367192594"/>
    <n v="3.5305194813148315"/>
    <n v="2992.2630099999983"/>
    <n v="3.808555585493137E-3"/>
    <n v="2.5708368568456187E-3"/>
    <n v="95.213889637328421"/>
    <n v="750"/>
    <n v="4432.8756099999982"/>
    <n v="2.5708368568456187E-3"/>
    <n v="2685.3055916775029"/>
    <n v="845.21388963732841"/>
    <s v="Luisa"/>
    <s v="Luiz"/>
    <x v="0"/>
  </r>
  <r>
    <x v="9"/>
    <x v="0"/>
    <x v="10"/>
    <n v="0.49205803212294374"/>
    <n v="0"/>
    <n v="0"/>
    <n v="0"/>
    <n v="0"/>
    <n v="0"/>
    <n v="0"/>
    <n v="0"/>
    <n v="0"/>
    <n v="0"/>
    <n v="0.02"/>
    <n v="3.5000000000000003E-2"/>
    <n v="0"/>
    <n v="0"/>
    <n v="0"/>
    <n v="0"/>
    <x v="0"/>
    <n v="0"/>
    <n v="0"/>
    <n v="0"/>
    <n v="0"/>
    <n v="0.54705803212294379"/>
    <n v="0"/>
    <n v="0"/>
    <e v="#DIV/0!"/>
    <n v="0"/>
    <n v="0"/>
    <n v="0"/>
    <n v="4432.8756099999982"/>
    <n v="0"/>
    <n v="0"/>
    <n v="0"/>
    <s v="Luisa"/>
    <s v="Luisa"/>
    <x v="0"/>
  </r>
  <r>
    <x v="10"/>
    <x v="1"/>
    <x v="11"/>
    <n v="0"/>
    <n v="0"/>
    <n v="0"/>
    <n v="0"/>
    <n v="1.1262045280250741"/>
    <n v="0"/>
    <n v="0.76723016905071517"/>
    <n v="0.35897435897435898"/>
    <n v="0"/>
    <n v="0"/>
    <n v="0.02"/>
    <n v="3.5000000000000003E-2"/>
    <n v="-1.1262045280250741"/>
    <n v="0"/>
    <n v="0"/>
    <n v="0"/>
    <x v="0"/>
    <n v="2"/>
    <n v="0"/>
    <n v="1.1917508233069567"/>
    <n v="0.59587541165347835"/>
    <n v="5.5000000000000007E-2"/>
    <n v="1.1262045280250741"/>
    <n v="180.08960000000002"/>
    <n v="0"/>
    <n v="0"/>
    <n v="0"/>
    <n v="358.97435897435895"/>
    <n v="4432.8756099999982"/>
    <n v="0"/>
    <n v="767.23016905071518"/>
    <n v="358.97435897435895"/>
    <s v="Emerson"/>
    <s v="Emerson"/>
    <x v="0"/>
  </r>
  <r>
    <x v="11"/>
    <x v="0"/>
    <x v="12"/>
    <n v="0"/>
    <n v="0"/>
    <n v="0"/>
    <n v="0"/>
    <n v="0"/>
    <n v="0"/>
    <n v="0"/>
    <n v="0"/>
    <n v="0"/>
    <n v="0"/>
    <n v="0.02"/>
    <n v="3.5000000000000003E-2"/>
    <n v="0"/>
    <n v="0"/>
    <n v="0"/>
    <n v="0"/>
    <x v="0"/>
    <n v="0"/>
    <n v="0"/>
    <n v="0"/>
    <n v="0"/>
    <n v="5.5000000000000007E-2"/>
    <n v="0"/>
    <n v="0"/>
    <e v="#DIV/0!"/>
    <n v="0"/>
    <n v="0"/>
    <n v="0"/>
    <n v="4432.8756099999982"/>
    <n v="0"/>
    <n v="0"/>
    <n v="0"/>
    <s v="Luisa"/>
    <s v="Luisa"/>
    <x v="0"/>
  </r>
  <r>
    <x v="12"/>
    <x v="2"/>
    <x v="13"/>
    <n v="0"/>
    <n v="0"/>
    <n v="0"/>
    <n v="0"/>
    <n v="0"/>
    <n v="0"/>
    <n v="0"/>
    <n v="0"/>
    <n v="0"/>
    <n v="0.06"/>
    <n v="0.02"/>
    <n v="3.5000000000000003E-2"/>
    <n v="0"/>
    <n v="0"/>
    <n v="0"/>
    <n v="0"/>
    <x v="0"/>
    <n v="0"/>
    <n v="0"/>
    <n v="0"/>
    <n v="0"/>
    <n v="0.115"/>
    <n v="0"/>
    <n v="0"/>
    <e v="#DIV/0!"/>
    <n v="0"/>
    <n v="0"/>
    <n v="0"/>
    <n v="4432.8756099999982"/>
    <n v="0"/>
    <n v="0"/>
    <n v="0"/>
    <s v="Luisa"/>
    <s v="Luisa"/>
    <x v="0"/>
  </r>
  <r>
    <x v="13"/>
    <x v="0"/>
    <x v="14"/>
    <n v="0"/>
    <n v="0"/>
    <n v="0"/>
    <n v="0"/>
    <n v="0.49261508452535757"/>
    <n v="0"/>
    <n v="0.38361508452535759"/>
    <n v="0.109"/>
    <n v="0"/>
    <n v="0"/>
    <n v="0.02"/>
    <n v="3.5000000000000003E-2"/>
    <n v="-0.49261508452535757"/>
    <n v="0"/>
    <n v="0"/>
    <n v="0"/>
    <x v="0"/>
    <n v="1"/>
    <n v="0"/>
    <n v="0.52128580373053712"/>
    <n v="0.52128580373053712"/>
    <n v="5.5000000000000007E-2"/>
    <n v="0.49261508452535757"/>
    <n v="0"/>
    <e v="#DIV/0!"/>
    <n v="0"/>
    <n v="0"/>
    <n v="109"/>
    <n v="4432.8756099999982"/>
    <n v="0"/>
    <n v="383.61508452535759"/>
    <n v="109"/>
    <s v="Luisa"/>
    <s v="Luisa"/>
    <x v="0"/>
  </r>
  <r>
    <x v="14"/>
    <x v="0"/>
    <x v="15"/>
    <n v="0.52525821239841242"/>
    <n v="0"/>
    <n v="0"/>
    <n v="0"/>
    <n v="2.327075422626788"/>
    <n v="0"/>
    <n v="1.918075422626788"/>
    <n v="0.40899999999999997"/>
    <n v="0"/>
    <n v="0"/>
    <n v="0.02"/>
    <n v="3.5000000000000003E-2"/>
    <n v="-2.327075422626788"/>
    <n v="0"/>
    <n v="0"/>
    <n v="0"/>
    <x v="0"/>
    <n v="5"/>
    <n v="0"/>
    <n v="5.544064211294617"/>
    <n v="1.1088128422589234"/>
    <n v="0.58025821239841247"/>
    <n v="2.327075422626788"/>
    <n v="0"/>
    <e v="#DIV/0!"/>
    <n v="0"/>
    <n v="0"/>
    <n v="409"/>
    <n v="4432.8756099999982"/>
    <n v="0"/>
    <n v="1918.0754226267879"/>
    <n v="409"/>
    <s v="Luisa"/>
    <s v="Luisa"/>
    <x v="0"/>
  </r>
  <r>
    <x v="15"/>
    <x v="0"/>
    <x v="16"/>
    <n v="0.45424536632268858"/>
    <n v="18.346119999999999"/>
    <n v="8.9794300000000007"/>
    <n v="9.3666899999999984"/>
    <n v="16.400772437462187"/>
    <n v="8.3336400000000026"/>
    <n v="4.2197659297789336"/>
    <n v="2.2879463076832498"/>
    <n v="1.5594202000000001"/>
    <n v="0.03"/>
    <n v="0.02"/>
    <n v="3.5000000000000003E-2"/>
    <n v="-7.0340824374621889"/>
    <n v="-0.75096778450682045"/>
    <n v="4.0788644697189396"/>
    <n v="0.48944572476360132"/>
    <x v="0"/>
    <n v="11"/>
    <n v="0.55038359999999997"/>
    <n v="33.612558844733343"/>
    <n v="3.0556871677030313"/>
    <n v="0.5392453663226886"/>
    <n v="6.507712237462183"/>
    <n v="2992.2630099999983"/>
    <n v="6.1311856406633218E-3"/>
    <n v="4.1386498548737771E-3"/>
    <n v="153.27964101658304"/>
    <n v="2134.666666666667"/>
    <n v="4432.8756099999982"/>
    <n v="4.1386498548737771E-3"/>
    <n v="4219.7659297789332"/>
    <n v="2287.9463076832499"/>
    <s v="Luisa"/>
    <s v="Luiz"/>
    <x v="0"/>
  </r>
  <r>
    <x v="16"/>
    <x v="0"/>
    <x v="17"/>
    <n v="0"/>
    <n v="0"/>
    <n v="0"/>
    <n v="0"/>
    <n v="4.757535760728218"/>
    <n v="0"/>
    <n v="3.4525357607282183"/>
    <n v="1.3049999999999999"/>
    <n v="0"/>
    <n v="6.5000000000000002E-2"/>
    <n v="0.02"/>
    <n v="3.5000000000000003E-2"/>
    <n v="-4.757535760728218"/>
    <n v="0"/>
    <n v="0"/>
    <n v="0"/>
    <x v="0"/>
    <n v="9"/>
    <n v="0"/>
    <n v="5.406290637191157"/>
    <n v="0.60069895968790632"/>
    <n v="0.12000000000000001"/>
    <n v="4.757535760728218"/>
    <n v="2992.2630099999983"/>
    <n v="0"/>
    <n v="0"/>
    <n v="0"/>
    <n v="1305"/>
    <n v="4432.8756099999982"/>
    <n v="0"/>
    <n v="3452.5357607282185"/>
    <n v="1305"/>
    <s v="Luisa"/>
    <s v="Luiz"/>
    <x v="0"/>
  </r>
  <r>
    <x v="17"/>
    <x v="1"/>
    <x v="18"/>
    <n v="0.46646104256974547"/>
    <n v="7.1976000000000004"/>
    <n v="0"/>
    <n v="7.1976000000000004"/>
    <n v="5.7865002776307408"/>
    <n v="3.3574000000000002"/>
    <n v="0.76723016905071517"/>
    <n v="1.2660021085800255"/>
    <n v="0.39586800000000005"/>
    <n v="0"/>
    <n v="0.02"/>
    <n v="3.5000000000000003E-2"/>
    <n v="1.4110997223692596"/>
    <n v="0.19605142302562792"/>
    <n v="0"/>
    <n v="0"/>
    <x v="0"/>
    <n v="2"/>
    <n v="0"/>
    <n v="4.2488333416973214"/>
    <n v="2.1244166708486607"/>
    <n v="0.52146104256974546"/>
    <n v="2.0332322776307405"/>
    <n v="180.08960000000002"/>
    <n v="3.996677209566793E-2"/>
    <n v="1.623686435902496E-3"/>
    <n v="799.33544191335864"/>
    <n v="466.66666666666669"/>
    <n v="4432.8756099999982"/>
    <n v="1.623686435902496E-3"/>
    <n v="767.23016905071518"/>
    <n v="1266.0021085800254"/>
    <s v="Emerson"/>
    <s v="Emerson"/>
    <x v="0"/>
  </r>
  <r>
    <x v="18"/>
    <x v="0"/>
    <x v="19"/>
    <n v="0"/>
    <n v="0"/>
    <n v="0"/>
    <n v="0"/>
    <n v="2.6180754226267879"/>
    <n v="0"/>
    <n v="1.918075422626788"/>
    <n v="0.7"/>
    <n v="0"/>
    <n v="0"/>
    <n v="0.02"/>
    <n v="3.5000000000000003E-2"/>
    <n v="-2.6180754226267879"/>
    <n v="0"/>
    <n v="0"/>
    <n v="0"/>
    <x v="0"/>
    <n v="5"/>
    <n v="0"/>
    <n v="2.7704501826738497"/>
    <n v="0.55409003653476996"/>
    <n v="5.5000000000000007E-2"/>
    <n v="2.6180754226267879"/>
    <n v="0"/>
    <e v="#DIV/0!"/>
    <n v="0"/>
    <n v="0"/>
    <n v="700"/>
    <n v="4432.8756099999982"/>
    <n v="0"/>
    <n v="1918.0754226267879"/>
    <n v="700"/>
    <s v="Luisa"/>
    <s v="Luisa"/>
    <x v="0"/>
  </r>
  <r>
    <x v="19"/>
    <x v="2"/>
    <x v="20"/>
    <n v="0.49783613427627521"/>
    <n v="118.35299999999999"/>
    <n v="61.553129999999996"/>
    <n v="56.799869999999999"/>
    <n v="103.021174548866"/>
    <n v="58.920400000000001"/>
    <n v="11.124837451235368"/>
    <n v="13.447692097630632"/>
    <n v="19.528244999999998"/>
    <n v="0.11"/>
    <n v="0.02"/>
    <n v="3.5000000000000003E-2"/>
    <n v="-46.221304548866001"/>
    <n v="-0.81375722424833019"/>
    <n v="30.643372291805022"/>
    <n v="0.52008085980076546"/>
    <x v="0"/>
    <n v="29"/>
    <n v="13.018829999999999"/>
    <n v="255.44154728442388"/>
    <n v="8.808329216704271"/>
    <n v="0.66283613427627519"/>
    <n v="24.572529548866001"/>
    <n v="1216.4010000000001"/>
    <n v="9.7297683905225321E-2"/>
    <n v="2.6698921966817842E-2"/>
    <n v="2432.4420976306328"/>
    <n v="11015.25"/>
    <n v="4432.8756099999982"/>
    <n v="2.6698921966817842E-2"/>
    <n v="11124.837451235369"/>
    <n v="13447.692097630632"/>
    <s v="Leandro"/>
    <s v="Leandro"/>
    <x v="0"/>
  </r>
  <r>
    <x v="20"/>
    <x v="2"/>
    <x v="21"/>
    <n v="0"/>
    <n v="0"/>
    <n v="0"/>
    <n v="0"/>
    <n v="13.399531859557868"/>
    <n v="0"/>
    <n v="8.4395318595578672"/>
    <n v="4.96"/>
    <n v="0"/>
    <n v="6.5000000000000002E-2"/>
    <n v="0.02"/>
    <n v="3.5000000000000003E-2"/>
    <n v="-13.399531859557868"/>
    <n v="0"/>
    <n v="0"/>
    <n v="0"/>
    <x v="0"/>
    <n v="22"/>
    <n v="0"/>
    <n v="15.226740749497578"/>
    <n v="0.69212457952261719"/>
    <n v="0.12000000000000001"/>
    <n v="13.399531859557868"/>
    <n v="1216.4010000000001"/>
    <n v="0"/>
    <n v="0"/>
    <n v="0"/>
    <n v="4960"/>
    <n v="4432.8756099999982"/>
    <n v="0"/>
    <n v="8439.5318595578665"/>
    <n v="4960"/>
    <s v="Leandro"/>
    <s v="Leandro"/>
    <x v="0"/>
  </r>
  <r>
    <x v="21"/>
    <x v="2"/>
    <x v="22"/>
    <n v="0.4048891288801475"/>
    <n v="468.16520000000003"/>
    <n v="37.83334"/>
    <n v="430.33186000000001"/>
    <n v="291.70002719397223"/>
    <n v="189.55500000000004"/>
    <n v="13.042912873862159"/>
    <n v="30.581464320110019"/>
    <n v="58.520650000000003"/>
    <n v="7.0000000000000007E-2"/>
    <n v="0.02"/>
    <n v="3.5000000000000003E-2"/>
    <n v="138.63183280602777"/>
    <n v="0.32215098553480975"/>
    <n v="15.31830807522644"/>
    <n v="8.0811944159882021E-2"/>
    <x v="0"/>
    <n v="34"/>
    <n v="32.771564000000005"/>
    <n v="173.27341739605279"/>
    <n v="5.096276982236847"/>
    <n v="0.5298891288801475"/>
    <n v="43.62437719397218"/>
    <n v="2992.2630099999983"/>
    <n v="0.15645857280440073"/>
    <n v="0.10561207694253352"/>
    <n v="3911.4643201100184"/>
    <n v="26670"/>
    <n v="4432.8756099999982"/>
    <n v="0.10561207694253352"/>
    <n v="13042.912873862158"/>
    <n v="30581.464320110019"/>
    <s v="Leandro"/>
    <s v="Luiz"/>
    <x v="0"/>
  </r>
  <r>
    <x v="22"/>
    <x v="2"/>
    <x v="23"/>
    <n v="0.4888877904102818"/>
    <n v="80.92"/>
    <n v="43.525030000000001"/>
    <n v="37.394970000000001"/>
    <n v="67.28406490340069"/>
    <n v="39.5608"/>
    <n v="9.2067620286085816"/>
    <n v="6.783102874792112"/>
    <n v="11.733400000000001"/>
    <n v="0.09"/>
    <n v="0.02"/>
    <n v="3.5000000000000003E-2"/>
    <n v="-29.889094903400689"/>
    <n v="-0.79928115742306216"/>
    <n v="21.278855744241227"/>
    <n v="0.53787728620860109"/>
    <x v="0"/>
    <n v="24"/>
    <n v="7.2827999999999999"/>
    <n v="162.55916449794381"/>
    <n v="6.7732985207476588"/>
    <n v="0.63388779041028176"/>
    <n v="15.989864903400694"/>
    <n v="1216.4010000000001"/>
    <n v="6.652411499168448E-2"/>
    <n v="1.8254516282264918E-2"/>
    <n v="1663.1028747921121"/>
    <n v="5120"/>
    <n v="4432.8756099999982"/>
    <n v="1.8254516282264918E-2"/>
    <n v="9206.7620286085821"/>
    <n v="6783.1028747921118"/>
    <s v="Leandro"/>
    <s v="Leandro"/>
    <x v="0"/>
  </r>
  <r>
    <x v="23"/>
    <x v="2"/>
    <x v="24"/>
    <n v="0"/>
    <n v="0"/>
    <n v="0"/>
    <n v="0"/>
    <n v="5.6361508452535762"/>
    <n v="0"/>
    <n v="3.836150845253576"/>
    <n v="1.8"/>
    <n v="0"/>
    <n v="0.05"/>
    <n v="0.02"/>
    <n v="3.5000000000000003E-2"/>
    <n v="-5.6361508452535762"/>
    <n v="0"/>
    <n v="0"/>
    <n v="0"/>
    <x v="0"/>
    <n v="10"/>
    <n v="0"/>
    <n v="6.297375246093381"/>
    <n v="0.62973752460933807"/>
    <n v="0.10500000000000001"/>
    <n v="5.6361508452535762"/>
    <n v="1216.4010000000001"/>
    <n v="0"/>
    <n v="0"/>
    <n v="0"/>
    <n v="1800"/>
    <n v="4432.8756099999982"/>
    <n v="0"/>
    <n v="3836.1508452535759"/>
    <n v="1800"/>
    <s v="Leandro"/>
    <s v="Leandro"/>
    <x v="0"/>
  </r>
  <r>
    <x v="24"/>
    <x v="2"/>
    <x v="25"/>
    <n v="0.53808800253244704"/>
    <n v="126.35999999999999"/>
    <n v="0"/>
    <n v="126.35999999999999"/>
    <n v="96.839876949765028"/>
    <n v="67.992800000000003"/>
    <n v="6.9050715214564367"/>
    <n v="6.1470054283085922"/>
    <n v="15.794999999999998"/>
    <n v="7.0000000000000007E-2"/>
    <n v="0.02"/>
    <n v="3.5000000000000003E-2"/>
    <n v="29.520123050234957"/>
    <n v="0.23361920742509465"/>
    <n v="0"/>
    <n v="0"/>
    <x v="0"/>
    <n v="18"/>
    <n v="8.8452000000000002"/>
    <n v="38.740315120484951"/>
    <n v="2.1522397289158306"/>
    <n v="0.66308800253244704"/>
    <n v="13.052076949765029"/>
    <n v="1216.4010000000001"/>
    <n v="0.10388021713234367"/>
    <n v="2.8505198682983131E-2"/>
    <n v="2597.0054283085919"/>
    <n v="3550"/>
    <n v="4432.8756099999982"/>
    <n v="2.8505198682983131E-2"/>
    <n v="6905.071521456437"/>
    <n v="6147.0054283085919"/>
    <s v="Leandro"/>
    <s v="Leandro"/>
    <x v="0"/>
  </r>
  <r>
    <x v="25"/>
    <x v="2"/>
    <x v="26"/>
    <n v="0.53811735207387923"/>
    <n v="890.76800000000003"/>
    <n v="88.715000000000003"/>
    <n v="802.053"/>
    <n v="668.32265960717473"/>
    <n v="479.33771747214524"/>
    <n v="11.508452535760727"/>
    <n v="39.407449599268666"/>
    <n v="138.06904000000003"/>
    <n v="0.1"/>
    <n v="0.02"/>
    <n v="3.5000000000000003E-2"/>
    <n v="133.73034039282527"/>
    <n v="0.16673504169029388"/>
    <n v="47.739080889234195"/>
    <n v="9.9593833635694143E-2"/>
    <x v="0"/>
    <n v="30"/>
    <n v="89.076800000000006"/>
    <n v="454.99771029297261"/>
    <n v="15.166590343099086"/>
    <n v="0.69311735207387926"/>
    <n v="50.915902135029391"/>
    <n v="1216.4010000000001"/>
    <n v="0.73229798397074652"/>
    <n v="0.20094585961098069"/>
    <n v="18307.449599268664"/>
    <n v="21100"/>
    <n v="4432.8756099999982"/>
    <n v="0.20094585961098069"/>
    <n v="11508.452535760727"/>
    <n v="39407.449599268664"/>
    <s v="Leandro"/>
    <s v="Leandro"/>
    <x v="0"/>
  </r>
  <r>
    <x v="26"/>
    <x v="0"/>
    <x v="27"/>
    <n v="0.55127147454784475"/>
    <n v="44.122"/>
    <n v="0"/>
    <n v="44.122"/>
    <n v="31.749910000000007"/>
    <n v="24.323200000000007"/>
    <n v="5"/>
    <n v="0"/>
    <n v="2.4267100000000004"/>
    <n v="0"/>
    <n v="0.02"/>
    <n v="3.5000000000000003E-2"/>
    <n v="12.372089999999993"/>
    <n v="0.2804063732378404"/>
    <n v="0"/>
    <n v="0"/>
    <x v="0"/>
    <n v="0"/>
    <n v="0"/>
    <n v="12.699105289000926"/>
    <n v="12.699105289000926"/>
    <n v="0.6062714745478448"/>
    <n v="5"/>
    <n v="44.122"/>
    <n v="1"/>
    <n v="9.9533584701692133E-3"/>
    <n v="0"/>
    <n v="0"/>
    <n v="4432.8756099999982"/>
    <n v="9.9533584701692133E-3"/>
    <n v="0"/>
    <n v="0"/>
    <s v="Luisa"/>
    <s v="Léo"/>
    <x v="0"/>
  </r>
  <r>
    <x v="27"/>
    <x v="3"/>
    <x v="28"/>
    <n v="0.47220089144116334"/>
    <n v="105.42927999999996"/>
    <n v="5.29"/>
    <n v="100.13927999999996"/>
    <n v="60.824254096121656"/>
    <n v="49.783799999999992"/>
    <n v="1.5344603381014303"/>
    <n v="1.5987977580202324"/>
    <n v="7.9071959999999981"/>
    <n v="0.02"/>
    <n v="0.02"/>
    <n v="3.5000000000000003E-2"/>
    <n v="39.315025903878301"/>
    <n v="0.39260344096620542"/>
    <n v="2.4979427157237541"/>
    <n v="5.0175814536531048E-2"/>
    <x v="0"/>
    <n v="4"/>
    <n v="2.1085855999999992"/>
    <n v="18.602638425970191"/>
    <n v="4.6506596064925478"/>
    <n v="0.54720089144116335"/>
    <n v="3.1332580961216627"/>
    <n v="2992.2630099999983"/>
    <n v="3.5233961602860582E-2"/>
    <n v="2.3783496149128353E-2"/>
    <n v="880.84904007151454"/>
    <n v="717.9487179487179"/>
    <n v="4432.8756099999982"/>
    <n v="2.3783496149128353E-2"/>
    <n v="1534.4603381014304"/>
    <n v="1598.7977580202323"/>
    <s v="Luiz"/>
    <s v="Luiz"/>
    <x v="0"/>
  </r>
  <r>
    <x v="27"/>
    <x v="3"/>
    <x v="29"/>
    <n v="0.46369314027484643"/>
    <n v="20.296440000000004"/>
    <n v="0.87"/>
    <n v="19.426440000000003"/>
    <n v="11.653742416161405"/>
    <n v="9.4113200000000052"/>
    <n v="0.38361508452535759"/>
    <n v="0.33657433163604172"/>
    <n v="1.5222330000000006"/>
    <n v="0.02"/>
    <n v="0.02"/>
    <n v="3.5000000000000003E-2"/>
    <n v="7.7726975838385979"/>
    <n v="0.40010921114926856"/>
    <n v="0.40341303203911638"/>
    <n v="4.2864660009341533E-2"/>
    <x v="0"/>
    <n v="1"/>
    <n v="0.40592880000000009"/>
    <n v="3.4471401901737027"/>
    <n v="3.4471401901737027"/>
    <n v="0.53869314027484649"/>
    <n v="0.72018941616139931"/>
    <n v="2992.2630099999983"/>
    <n v="6.7829732654416681E-3"/>
    <n v="4.5786170841820694E-3"/>
    <n v="169.57433163604171"/>
    <n v="167"/>
    <n v="4432.8756099999982"/>
    <n v="4.5786170841820694E-3"/>
    <n v="383.61508452535759"/>
    <n v="336.57433163604173"/>
    <s v="Luiz"/>
    <s v="Luiz"/>
    <x v="0"/>
  </r>
  <r>
    <x v="28"/>
    <x v="3"/>
    <x v="30"/>
    <n v="0.46406330962362796"/>
    <n v="42.457999999999984"/>
    <n v="0"/>
    <n v="42.457999999999984"/>
    <n v="26.465860914110351"/>
    <n v="19.703199999999988"/>
    <n v="2.3016905071521454"/>
    <n v="1.2766204069582181"/>
    <n v="3.1843499999999993"/>
    <n v="0.02"/>
    <n v="0.02"/>
    <n v="3.5000000000000003E-2"/>
    <n v="15.992139085889633"/>
    <n v="0.37665785213362946"/>
    <n v="0"/>
    <n v="0"/>
    <x v="0"/>
    <n v="6"/>
    <n v="0.84915999999999969"/>
    <n v="7.7631288392090001"/>
    <n v="1.2938548065348334"/>
    <n v="0.53906330962362792"/>
    <n v="3.5783109141103635"/>
    <n v="2992.2630099999983"/>
    <n v="1.4189260722773166E-2"/>
    <n v="9.577981368171078E-3"/>
    <n v="354.73151806932918"/>
    <n v="921.88888888888891"/>
    <n v="4432.8756099999982"/>
    <n v="9.577981368171078E-3"/>
    <n v="2301.6905071521455"/>
    <n v="1276.6204069582182"/>
    <s v="Luiz"/>
    <s v="Luiz"/>
    <x v="0"/>
  </r>
  <r>
    <x v="29"/>
    <x v="3"/>
    <x v="31"/>
    <n v="0.4778047094296875"/>
    <n v="119.93204999999999"/>
    <n v="19.452999999999999"/>
    <n v="100.47904999999999"/>
    <n v="109.71362224666044"/>
    <n v="57.304098301556749"/>
    <n v="24.934980494148242"/>
    <n v="14.282017950955455"/>
    <n v="13.192525499999999"/>
    <n v="5.5E-2"/>
    <n v="0.02"/>
    <n v="3.5000000000000003E-2"/>
    <n v="-9.2345722466604485"/>
    <n v="-9.1905449411200144E-2"/>
    <n v="9.2947350125357104"/>
    <n v="0.16220017918479673"/>
    <x v="0"/>
    <n v="65"/>
    <n v="6.5962627499999993"/>
    <n v="142.33544096034677"/>
    <n v="2.1897760147745657"/>
    <n v="0.58780470942968754"/>
    <n v="39.216998445103698"/>
    <n v="2992.2630099999983"/>
    <n v="4.0080718038218194E-2"/>
    <n v="2.7055135436114805E-2"/>
    <n v="1002.0179509554548"/>
    <n v="13280"/>
    <n v="4432.8756099999982"/>
    <n v="2.7055135436114805E-2"/>
    <n v="24934.980494148243"/>
    <n v="14282.017950955455"/>
    <s v="Luiz"/>
    <s v="Luiz"/>
    <x v="0"/>
  </r>
  <r>
    <x v="30"/>
    <x v="3"/>
    <x v="32"/>
    <n v="0.49703623235081451"/>
    <n v="147.40179999999958"/>
    <n v="0"/>
    <n v="147.40179999999958"/>
    <n v="143.86815372120066"/>
    <n v="73.264035313728087"/>
    <n v="37.210663198959686"/>
    <n v="20.864302208512889"/>
    <n v="12.529152999999965"/>
    <n v="0.03"/>
    <n v="0.02"/>
    <n v="3.5000000000000003E-2"/>
    <n v="3.5336462787989262"/>
    <n v="2.3972884176441105E-2"/>
    <n v="0"/>
    <n v="0"/>
    <x v="0"/>
    <n v="97"/>
    <n v="4.4220539999999877"/>
    <n v="138.94736793601049"/>
    <n v="1.4324470921238195"/>
    <n v="0.58203623235081448"/>
    <n v="58.074965407472575"/>
    <n v="2992.2630099999983"/>
    <n v="4.9260977229404597E-2"/>
    <n v="3.3251959443093788E-2"/>
    <n v="1231.5244307351149"/>
    <n v="19632.777777777777"/>
    <n v="4432.8756099999982"/>
    <n v="3.3251959443093788E-2"/>
    <n v="37210.663198959686"/>
    <n v="20864.302208512891"/>
    <s v="Luiz"/>
    <s v="Luiz"/>
    <x v="0"/>
  </r>
  <r>
    <x v="31"/>
    <x v="1"/>
    <x v="33"/>
    <n v="0.45553913623564413"/>
    <n v="40.863459999999989"/>
    <n v="5.0742799999999999"/>
    <n v="35.789179999999988"/>
    <n v="36.707497198622328"/>
    <n v="18.614905271999788"/>
    <n v="5.7542262678803633"/>
    <n v="7.2304331587421764"/>
    <n v="5.1079324999999987"/>
    <n v="7.0000000000000007E-2"/>
    <n v="0.02"/>
    <n v="3.5000000000000003E-2"/>
    <n v="-0.91831719862233996"/>
    <n v="-2.5659073458021119E-2"/>
    <n v="2.3115331282178042"/>
    <n v="0.12417646474380782"/>
    <x v="0"/>
    <n v="15"/>
    <n v="2.8604421999999996"/>
    <n v="43.052739806418899"/>
    <n v="2.87018265376126"/>
    <n v="0.58053913623564413"/>
    <n v="12.984659426622539"/>
    <n v="180.08960000000002"/>
    <n v="0.22690627332172422"/>
    <n v="9.2182735531349605E-3"/>
    <n v="4538.1254664344842"/>
    <n v="2692.3076923076919"/>
    <n v="4432.8756099999982"/>
    <n v="9.2182735531349605E-3"/>
    <n v="5754.2262678803636"/>
    <n v="7230.4331587421766"/>
    <s v="Emerson"/>
    <s v="Emerson"/>
    <x v="0"/>
  </r>
  <r>
    <x v="32"/>
    <x v="3"/>
    <x v="34"/>
    <n v="0.52099979856308332"/>
    <n v="119.14399999999999"/>
    <n v="16.649999999999999"/>
    <n v="102.494"/>
    <n v="78.044209648072226"/>
    <n v="62.073999999999991"/>
    <n v="3.4525357607282183"/>
    <n v="2.3904338873440145"/>
    <n v="10.12724"/>
    <n v="0.03"/>
    <n v="0.02"/>
    <n v="3.5000000000000003E-2"/>
    <n v="24.449790351927774"/>
    <n v="0.2385485038336661"/>
    <n v="8.6746466460753364"/>
    <n v="0.13974686094138186"/>
    <x v="0"/>
    <n v="9"/>
    <n v="3.5743199999999997"/>
    <n v="57.088726264708711"/>
    <n v="6.3431918071898572"/>
    <n v="0.60599979856308328"/>
    <n v="5.8429696480722324"/>
    <n v="2992.2630099999983"/>
    <n v="3.981735549376058E-2"/>
    <n v="2.6877361442587386E-2"/>
    <n v="995.43388734401447"/>
    <n v="1395"/>
    <n v="4432.8756099999982"/>
    <n v="2.6877361442587386E-2"/>
    <n v="3452.5357607282185"/>
    <n v="2390.4338873440147"/>
    <s v="Luiz"/>
    <s v="Luiz"/>
    <x v="0"/>
  </r>
  <r>
    <x v="32"/>
    <x v="3"/>
    <x v="35"/>
    <n v="0.51463890696161352"/>
    <n v="15.370000000000003"/>
    <n v="17.056999999999999"/>
    <n v="-1.6869999999999958"/>
    <n v="9.7284795984620853"/>
    <n v="7.910000000000001"/>
    <n v="0.38361508452535759"/>
    <n v="0.12841451393672787"/>
    <n v="1.3064500000000003"/>
    <n v="0.03"/>
    <n v="0.02"/>
    <n v="3.5000000000000003E-2"/>
    <n v="-11.415479598462081"/>
    <n v="6.7667336090468932"/>
    <n v="8.7781958360442403"/>
    <n v="1.109759271307742"/>
    <x v="0"/>
    <n v="1"/>
    <n v="0.46110000000000007"/>
    <n v="43.882959418280862"/>
    <n v="43.882959418280862"/>
    <n v="0.59963890696161348"/>
    <n v="0.51202959846208551"/>
    <n v="2992.2630099999983"/>
    <n v="5.1365805574691151E-3"/>
    <n v="3.4672752750668791E-3"/>
    <n v="128.41451393672787"/>
    <n v="0"/>
    <n v="4432.8756099999982"/>
    <n v="3.4672752750668791E-3"/>
    <n v="383.61508452535759"/>
    <n v="128.41451393672787"/>
    <s v="Luiz"/>
    <s v="Luiz"/>
    <x v="0"/>
  </r>
  <r>
    <x v="33"/>
    <x v="3"/>
    <x v="36"/>
    <n v="0"/>
    <n v="0"/>
    <n v="0"/>
    <n v="0"/>
    <n v="0.90723016905071519"/>
    <n v="0"/>
    <n v="0.76723016905071517"/>
    <n v="0.14000000000000001"/>
    <n v="0"/>
    <n v="0"/>
    <n v="0.02"/>
    <n v="3.5000000000000003E-2"/>
    <n v="-0.90723016905071519"/>
    <n v="0"/>
    <n v="0"/>
    <n v="0"/>
    <x v="0"/>
    <n v="2"/>
    <n v="0"/>
    <n v="0.96003192492139178"/>
    <n v="0.48001596246069589"/>
    <n v="5.5000000000000007E-2"/>
    <n v="0.90723016905071519"/>
    <n v="0"/>
    <e v="#DIV/0!"/>
    <n v="0"/>
    <n v="0"/>
    <n v="140"/>
    <n v="4432.8756099999982"/>
    <n v="0"/>
    <n v="767.23016905071518"/>
    <n v="140"/>
    <s v="Luisa"/>
    <s v="Luisa"/>
    <x v="0"/>
  </r>
  <r>
    <x v="34"/>
    <x v="3"/>
    <x v="37"/>
    <n v="0.48311013110728862"/>
    <n v="218.51091999999929"/>
    <n v="48.787579999999991"/>
    <n v="169.7233399999993"/>
    <n v="135.53663853159748"/>
    <n v="105.56483920957392"/>
    <n v="6.5214564369310795"/>
    <n v="4.8769146850925358"/>
    <n v="18.573428199999942"/>
    <n v="0.03"/>
    <n v="0.02"/>
    <n v="3.5000000000000003E-2"/>
    <n v="34.186701468401822"/>
    <n v="0.20142604705046438"/>
    <n v="23.569774170207328"/>
    <n v="0.22327296045433404"/>
    <x v="0"/>
    <n v="17"/>
    <n v="6.5553275999999787"/>
    <n v="139.35485746940452"/>
    <n v="8.1973445570237953"/>
    <n v="0.56811013110728859"/>
    <n v="11.398371122023615"/>
    <n v="2992.2630099999983"/>
    <n v="7.3025305352419342E-2"/>
    <n v="4.9293266769558503E-2"/>
    <n v="1825.6326338104836"/>
    <n v="3051.2820512820513"/>
    <n v="4432.8756099999982"/>
    <n v="4.9293266769558503E-2"/>
    <n v="6521.4564369310792"/>
    <n v="4876.9146850925354"/>
    <s v="Luiz"/>
    <s v="Luiz"/>
    <x v="0"/>
  </r>
  <r>
    <x v="35"/>
    <x v="3"/>
    <x v="38"/>
    <n v="0.50230309261945427"/>
    <n v="65.35560000000001"/>
    <n v="36.332980000000006"/>
    <n v="29.022620000000003"/>
    <n v="57.649334411386803"/>
    <n v="32.828320000000012"/>
    <n v="13.426527958387517"/>
    <n v="5.8392604529992695"/>
    <n v="5.5552260000000011"/>
    <n v="0.03"/>
    <n v="0.02"/>
    <n v="3.5000000000000003E-2"/>
    <n v="-28.6267144113868"/>
    <n v="-0.9863587233470581"/>
    <n v="18.250168218080784"/>
    <n v="0.55592757162354878"/>
    <x v="0"/>
    <n v="35"/>
    <n v="1.9606680000000003"/>
    <n v="134.72058408259272"/>
    <n v="3.8491595452169349"/>
    <n v="0.58730309261945424"/>
    <n v="19.265788411386787"/>
    <n v="2992.2630099999983"/>
    <n v="2.1841529231081878E-2"/>
    <n v="1.4743386855378068E-2"/>
    <n v="546.03823077704692"/>
    <n v="5293.2222222222226"/>
    <n v="4432.8756099999982"/>
    <n v="1.4743386855378068E-2"/>
    <n v="13426.527958387516"/>
    <n v="5839.2604529992695"/>
    <s v="Luiz"/>
    <s v="Luiz"/>
    <x v="0"/>
  </r>
  <r>
    <x v="36"/>
    <x v="1"/>
    <x v="39"/>
    <n v="0.45970879181949548"/>
    <n v="10.7964"/>
    <n v="0"/>
    <n v="10.7964"/>
    <n v="9.7033469292666243"/>
    <n v="4.9632000000000014"/>
    <n v="1.1508452535760727"/>
    <n v="2.0238236756905508"/>
    <n v="1.5654780000000001"/>
    <n v="0.09"/>
    <n v="0.02"/>
    <n v="3.5000000000000003E-2"/>
    <n v="1.0930530707333759"/>
    <n v="0.10124236511553628"/>
    <n v="0"/>
    <n v="0"/>
    <x v="0"/>
    <n v="3"/>
    <n v="0.97167599999999998"/>
    <n v="8.0312156293062635"/>
    <n v="2.6770718764354213"/>
    <n v="0.60470879181949555"/>
    <n v="3.1746689292666233"/>
    <n v="180.08960000000002"/>
    <n v="5.9950158143501894E-2"/>
    <n v="2.4355296538537442E-3"/>
    <n v="1199.0031628700378"/>
    <n v="824.82051282051282"/>
    <n v="4432.8756099999982"/>
    <n v="2.4355296538537442E-3"/>
    <n v="1150.8452535760728"/>
    <n v="2023.8236756905508"/>
    <s v="Emerson"/>
    <s v="Emerson"/>
    <x v="0"/>
  </r>
  <r>
    <x v="37"/>
    <x v="3"/>
    <x v="40"/>
    <n v="0.5146226143941135"/>
    <n v="167.0016"/>
    <n v="22.963709999999999"/>
    <n v="144.03789"/>
    <n v="121.84723861604938"/>
    <n v="85.942799999999977"/>
    <n v="9.9739921976592978"/>
    <n v="8.3952784183901006"/>
    <n v="17.535168000000002"/>
    <n v="0.05"/>
    <n v="0.02"/>
    <n v="3.5000000000000003E-2"/>
    <n v="22.190651383950623"/>
    <n v="0.15406120836642789"/>
    <n v="11.817644476388248"/>
    <n v="0.13750592808691653"/>
    <x v="0"/>
    <n v="26"/>
    <n v="8.3500800000000002"/>
    <n v="108.66308613539655"/>
    <n v="4.1793494667460216"/>
    <n v="0.61962261439411348"/>
    <n v="18.369270616049398"/>
    <n v="2992.2630099999983"/>
    <n v="5.5811136735604033E-2"/>
    <n v="3.7673423459766348E-2"/>
    <n v="1395.2784183901008"/>
    <n v="7000"/>
    <n v="4432.8756099999982"/>
    <n v="3.7673423459766348E-2"/>
    <n v="9973.9921976592977"/>
    <n v="8395.2784183901003"/>
    <s v="Luisa"/>
    <s v="Luiz"/>
    <x v="0"/>
  </r>
  <r>
    <x v="38"/>
    <x v="3"/>
    <x v="41"/>
    <n v="0"/>
    <n v="0"/>
    <n v="0"/>
    <n v="0"/>
    <n v="8.7660516905071511"/>
    <n v="0"/>
    <n v="7.6723016905071519"/>
    <n v="1.09375"/>
    <n v="0"/>
    <n v="0.03"/>
    <n v="0.02"/>
    <n v="3.5000000000000003E-2"/>
    <n v="-8.7660516905071511"/>
    <n v="0"/>
    <n v="0"/>
    <n v="0"/>
    <x v="0"/>
    <n v="20"/>
    <n v="0"/>
    <n v="9.580384361210001"/>
    <n v="0.47901921806050007"/>
    <n v="8.5000000000000006E-2"/>
    <n v="8.7660516905071511"/>
    <n v="1216.4010000000001"/>
    <n v="0"/>
    <n v="0"/>
    <n v="0"/>
    <n v="1093.75"/>
    <n v="4432.8756099999982"/>
    <n v="0"/>
    <n v="7672.3016905071518"/>
    <n v="1093.75"/>
    <s v="Leandro"/>
    <s v="Leandro"/>
    <x v="0"/>
  </r>
  <r>
    <x v="39"/>
    <x v="1"/>
    <x v="42"/>
    <n v="0.44716348522314736"/>
    <n v="72.103000000000023"/>
    <n v="19.306280000000001"/>
    <n v="52.796720000000022"/>
    <n v="57.646145219133558"/>
    <n v="32.241828775044603"/>
    <n v="5.7542262678803633"/>
    <n v="8.4741251762085845"/>
    <n v="11.175965000000005"/>
    <n v="0.1"/>
    <n v="0.02"/>
    <n v="3.5000000000000003E-2"/>
    <n v="-4.8494252191335363"/>
    <n v="-9.1850880492832396E-2"/>
    <n v="8.6330634514939462"/>
    <n v="0.26775973260474589"/>
    <x v="0"/>
    <n v="15"/>
    <n v="7.2103000000000028"/>
    <n v="84.292492515169471"/>
    <n v="5.6194995010112985"/>
    <n v="0.60216348522314744"/>
    <n v="14.228351444088947"/>
    <n v="180.08960000000002"/>
    <n v="0.40037292547709591"/>
    <n v="1.6265513933516409E-2"/>
    <n v="8007.4585095419179"/>
    <n v="466.66666666666669"/>
    <n v="4432.8756099999982"/>
    <n v="1.6265513933516409E-2"/>
    <n v="5754.2262678803636"/>
    <n v="8474.1251762085849"/>
    <s v="Emerson"/>
    <s v="Emerson"/>
    <x v="0"/>
  </r>
  <r>
    <x v="40"/>
    <x v="3"/>
    <x v="43"/>
    <n v="0"/>
    <n v="0"/>
    <n v="0"/>
    <n v="0"/>
    <n v="1.6008452535760727"/>
    <n v="0"/>
    <n v="1.1508452535760727"/>
    <n v="0.45"/>
    <n v="0"/>
    <n v="0.03"/>
    <n v="0.02"/>
    <n v="3.5000000000000003E-2"/>
    <n v="-1.6008452535760727"/>
    <n v="0"/>
    <n v="0"/>
    <n v="0"/>
    <x v="0"/>
    <n v="3"/>
    <n v="0"/>
    <n v="1.7495576541815001"/>
    <n v="0.5831858847271667"/>
    <n v="8.5000000000000006E-2"/>
    <n v="1.6008452535760727"/>
    <n v="2992.2630099999983"/>
    <n v="0"/>
    <n v="0"/>
    <n v="0"/>
    <n v="450"/>
    <n v="4432.8756099999982"/>
    <n v="0"/>
    <n v="1150.8452535760728"/>
    <n v="450"/>
    <s v="Luiz"/>
    <s v="Luiz"/>
    <x v="0"/>
  </r>
  <r>
    <x v="40"/>
    <x v="3"/>
    <x v="44"/>
    <n v="0.48283726483059569"/>
    <n v="4.8582000000000001"/>
    <n v="0"/>
    <n v="4.8582000000000001"/>
    <n v="3.3328717651764581"/>
    <n v="2.34572"/>
    <n v="0.38361508452535759"/>
    <n v="0.19058968065110027"/>
    <n v="0.41294700000000001"/>
    <n v="0.03"/>
    <n v="0.02"/>
    <n v="3.5000000000000003E-2"/>
    <n v="1.525328234823542"/>
    <n v="0.31396983138272239"/>
    <n v="0"/>
    <n v="0"/>
    <x v="0"/>
    <n v="1"/>
    <n v="0.14574599999999999"/>
    <n v="1.3286771821068151"/>
    <n v="1.3286771821068151"/>
    <n v="0.56783726483059571"/>
    <n v="0.57420476517645791"/>
    <n v="2992.2630099999983"/>
    <n v="1.6235872260440111E-3"/>
    <n v="1.0959477385380553E-3"/>
    <n v="40.589680651100281"/>
    <n v="150"/>
    <n v="4432.8756099999982"/>
    <n v="1.0959477385380553E-3"/>
    <n v="383.61508452535759"/>
    <n v="190.58968065110028"/>
    <s v="Luiz"/>
    <s v="Luiz"/>
    <x v="0"/>
  </r>
  <r>
    <x v="40"/>
    <x v="3"/>
    <x v="45"/>
    <n v="0.47648233318024324"/>
    <n v="74.204639999999984"/>
    <n v="0"/>
    <n v="74.204639999999984"/>
    <n v="44.419025640993418"/>
    <n v="35.357199999999999"/>
    <n v="1.5344603381014303"/>
    <n v="1.2199709028919887"/>
    <n v="6.3073943999999988"/>
    <n v="0.03"/>
    <n v="0.02"/>
    <n v="3.5000000000000003E-2"/>
    <n v="29.785614359006566"/>
    <n v="0.40139827319432547"/>
    <n v="0"/>
    <n v="0"/>
    <x v="0"/>
    <n v="4"/>
    <n v="2.2261391999999995"/>
    <n v="6.2812320903038295"/>
    <n v="1.5703080225759574"/>
    <n v="0.56148233318024321"/>
    <n v="2.7544312409934193"/>
    <n v="2992.2630099999983"/>
    <n v="2.4798836115679557E-2"/>
    <n v="1.6739617018037646E-2"/>
    <n v="619.97090289198889"/>
    <n v="600"/>
    <n v="4432.8756099999982"/>
    <n v="1.6739617018037646E-2"/>
    <n v="1534.4603381014304"/>
    <n v="1219.9709028919888"/>
    <s v="Luiz"/>
    <s v="Luiz"/>
    <x v="0"/>
  </r>
  <r>
    <x v="41"/>
    <x v="3"/>
    <x v="46"/>
    <n v="0.47667039425393243"/>
    <n v="101.49550000000002"/>
    <n v="22.963709999999999"/>
    <n v="78.531790000000029"/>
    <n v="74.94082705312394"/>
    <n v="48.379900000000006"/>
    <n v="8.0559167750325091"/>
    <n v="7.8479827780914224"/>
    <n v="10.657027500000003"/>
    <n v="0.05"/>
    <n v="0.02"/>
    <n v="3.5000000000000003E-2"/>
    <n v="3.5909629468760897"/>
    <n v="4.5726233247403228E-2"/>
    <n v="10.946120699232971"/>
    <n v="0.22625347921829042"/>
    <x v="0"/>
    <n v="21"/>
    <n v="5.0747750000000016"/>
    <n v="92.911448339415784"/>
    <n v="4.424354682829323"/>
    <n v="0.58167039425393241"/>
    <n v="15.903899553123932"/>
    <n v="2992.2630099999983"/>
    <n v="3.3919311123656898E-2"/>
    <n v="2.2896085730679923E-2"/>
    <n v="847.98277809142246"/>
    <n v="7000"/>
    <n v="4432.8756099999982"/>
    <n v="2.2896085730679923E-2"/>
    <n v="8055.9167750325096"/>
    <n v="7847.982778091422"/>
    <s v="Luisa"/>
    <s v="Luiz"/>
    <x v="0"/>
  </r>
  <r>
    <x v="42"/>
    <x v="1"/>
    <x v="47"/>
    <n v="0"/>
    <n v="0"/>
    <n v="0"/>
    <n v="0"/>
    <n v="7.8574573372011596"/>
    <n v="0"/>
    <n v="5.3706111833550061"/>
    <n v="2.4868461538461539"/>
    <n v="0"/>
    <n v="1.4999999999999999E-2"/>
    <n v="0.02"/>
    <n v="3.5000000000000003E-2"/>
    <n v="-7.8574573372011596"/>
    <n v="0"/>
    <n v="0"/>
    <n v="0"/>
    <x v="0"/>
    <n v="14"/>
    <n v="0"/>
    <n v="8.448878857205548"/>
    <n v="0.60349134694325346"/>
    <n v="7.0000000000000007E-2"/>
    <n v="7.8574573372011596"/>
    <n v="180.08960000000002"/>
    <n v="0"/>
    <n v="0"/>
    <n v="0"/>
    <n v="2486.8461538461538"/>
    <n v="4432.8756099999982"/>
    <n v="0"/>
    <n v="5370.6111833550058"/>
    <n v="2486.8461538461538"/>
    <s v="Emerson"/>
    <s v="Emerson"/>
    <x v="0"/>
  </r>
  <r>
    <x v="42"/>
    <x v="1"/>
    <x v="48"/>
    <n v="0"/>
    <n v="0"/>
    <n v="0"/>
    <n v="0"/>
    <n v="30.346163582408053"/>
    <n v="0"/>
    <n v="20.331599479843952"/>
    <n v="10.014564102564103"/>
    <n v="0"/>
    <n v="1.4999999999999999E-2"/>
    <n v="0.02"/>
    <n v="3.5000000000000003E-2"/>
    <n v="-30.346163582408053"/>
    <n v="0"/>
    <n v="0"/>
    <n v="0"/>
    <x v="0"/>
    <n v="53"/>
    <n v="0"/>
    <n v="32.630283421944142"/>
    <n v="0.61566572494234229"/>
    <n v="7.0000000000000007E-2"/>
    <n v="30.346163582408053"/>
    <n v="180.08960000000002"/>
    <n v="0"/>
    <n v="0"/>
    <n v="0"/>
    <n v="10014.564102564103"/>
    <n v="4432.8756099999982"/>
    <n v="0"/>
    <n v="20331.599479843953"/>
    <n v="10014.564102564103"/>
    <s v="Emerson"/>
    <s v="Emerson"/>
    <x v="0"/>
  </r>
  <r>
    <x v="43"/>
    <x v="3"/>
    <x v="49"/>
    <n v="0.47135826884823662"/>
    <n v="34.788399999999989"/>
    <n v="0"/>
    <n v="34.788399999999989"/>
    <n v="21.417326246323992"/>
    <n v="16.397799999999989"/>
    <n v="1.918075422626788"/>
    <n v="1.1880888236972156"/>
    <n v="1.9133619999999996"/>
    <n v="0"/>
    <n v="0.02"/>
    <n v="3.5000000000000003E-2"/>
    <n v="13.371073753675997"/>
    <n v="0.38435437541467848"/>
    <n v="0"/>
    <n v="0"/>
    <x v="0"/>
    <n v="5"/>
    <n v="0"/>
    <n v="6.5580459702541134"/>
    <n v="1.3116091940508228"/>
    <n v="0.52635826884823667"/>
    <n v="3.1061642463240036"/>
    <n v="2992.2630099999983"/>
    <n v="1.1626117050452731E-2"/>
    <n v="7.8478177735287289E-3"/>
    <n v="290.65292626131827"/>
    <n v="897.43589743589735"/>
    <n v="4432.8756099999982"/>
    <n v="7.8478177735287289E-3"/>
    <n v="1918.0754226267879"/>
    <n v="1188.0888236972155"/>
    <s v="Luiz"/>
    <s v="Luiz"/>
    <x v="0"/>
  </r>
  <r>
    <x v="44"/>
    <x v="3"/>
    <x v="50"/>
    <n v="0.47918846962231976"/>
    <n v="405.17223999999999"/>
    <n v="18.453810000000001"/>
    <n v="386.71843000000001"/>
    <n v="249.96963613934838"/>
    <n v="194.15386561904725"/>
    <n v="12.659297789336801"/>
    <n v="8.7168323309643405"/>
    <n v="34.439640400000002"/>
    <n v="0.03"/>
    <n v="0.02"/>
    <n v="3.5000000000000003E-2"/>
    <n v="136.74879386065163"/>
    <n v="0.35361333531647721"/>
    <n v="8.8428529726010616"/>
    <n v="4.554559315317358E-2"/>
    <x v="0"/>
    <n v="33"/>
    <n v="12.155167199999999"/>
    <n v="91.392579920462339"/>
    <n v="2.7694721188018891"/>
    <n v="0.56418846962231972"/>
    <n v="21.376130120301141"/>
    <n v="2992.2630099999983"/>
    <n v="0.13540662657190694"/>
    <n v="9.1401671431064618E-2"/>
    <n v="3385.1656642976736"/>
    <n v="5331.666666666667"/>
    <n v="4432.8756099999982"/>
    <n v="9.1401671431064618E-2"/>
    <n v="12659.297789336801"/>
    <n v="8716.8323309643401"/>
    <s v="Luiz"/>
    <s v="Luiz"/>
    <x v="0"/>
  </r>
  <r>
    <x v="45"/>
    <x v="3"/>
    <x v="51"/>
    <n v="0.51764178512396697"/>
    <n v="148.67000000000002"/>
    <n v="37.988970000000002"/>
    <n v="110.68103000000002"/>
    <n v="103.20748546797418"/>
    <n v="76.957804194380174"/>
    <n v="5.3706111833550061"/>
    <n v="8.2421200902389931"/>
    <n v="12.636950000000002"/>
    <n v="0.03"/>
    <n v="0.02"/>
    <n v="3.5000000000000003E-2"/>
    <n v="7.4735445320258407"/>
    <n v="6.7523265116215841E-2"/>
    <n v="19.664678245820827"/>
    <n v="0.2555254590704244"/>
    <x v="0"/>
    <n v="14"/>
    <n v="4.4601000000000006"/>
    <n v="129.86192141439076"/>
    <n v="9.2758515295993398"/>
    <n v="0.60264178512396693"/>
    <n v="13.612731273593999"/>
    <n v="2992.2630099999983"/>
    <n v="4.9684803609559743E-2"/>
    <n v="3.3538049131047028E-2"/>
    <n v="1242.1200902389935"/>
    <n v="7000"/>
    <n v="4432.8756099999982"/>
    <n v="3.3538049131047028E-2"/>
    <n v="5370.6111833550058"/>
    <n v="8242.1200902389937"/>
    <s v="Luiz"/>
    <s v="Luiz"/>
    <x v="0"/>
  </r>
  <r>
    <x v="46"/>
    <x v="1"/>
    <x v="52"/>
    <n v="0.6027906058446626"/>
    <n v="19.449540000000002"/>
    <n v="4.6576000000000004"/>
    <n v="14.791940000000002"/>
    <n v="17.665893676613173"/>
    <n v="11.724"/>
    <n v="0.76723016905071517"/>
    <n v="2.1599848075624579"/>
    <n v="3.014678700000001"/>
    <n v="0.1"/>
    <n v="0.02"/>
    <n v="3.5000000000000003E-2"/>
    <n v="-2.873953676613171"/>
    <n v="-0.19429186953254074"/>
    <n v="2.8075575257821006"/>
    <n v="0.23947095921034636"/>
    <x v="0"/>
    <n v="2"/>
    <n v="1.9449540000000003"/>
    <n v="31.315114771100767"/>
    <n v="15.657557385550383"/>
    <n v="0.75779060584466262"/>
    <n v="2.9272149766131732"/>
    <n v="180.08960000000002"/>
    <n v="0.10799924037812289"/>
    <n v="4.3875672838922745E-3"/>
    <n v="2159.9848075624577"/>
    <n v="0"/>
    <n v="4432.8756099999982"/>
    <n v="4.3875672838922745E-3"/>
    <n v="767.23016905071518"/>
    <n v="2159.9848075624577"/>
    <s v="Emerson"/>
    <s v="Emerson"/>
    <x v="0"/>
  </r>
  <r>
    <x v="47"/>
    <x v="3"/>
    <x v="53"/>
    <n v="0.50025119290627085"/>
    <n v="384.56500000000005"/>
    <n v="156.31683999999998"/>
    <n v="228.24816000000007"/>
    <n v="250.24110793227808"/>
    <n v="192.37910000000008"/>
    <n v="14.960988296488946"/>
    <n v="10.212994635789054"/>
    <n v="32.68802500000001"/>
    <n v="0.03"/>
    <n v="0.02"/>
    <n v="3.5000000000000003E-2"/>
    <n v="-21.992947932278014"/>
    <n v="-9.6355422678009797E-2"/>
    <n v="78.197685681338669"/>
    <n v="0.40647703249125627"/>
    <x v="0"/>
    <n v="39"/>
    <n v="11.536950000000001"/>
    <n v="437.59215175093397"/>
    <n v="11.220311583357281"/>
    <n v="0.58525119290627081"/>
    <n v="25.173982932278001"/>
    <n v="2992.2630099999983"/>
    <n v="0.12851978543156214"/>
    <n v="8.6752941844898776E-2"/>
    <n v="3212.9946357890535"/>
    <n v="6999.9999999999991"/>
    <n v="4432.8756099999982"/>
    <n v="8.6752941844898776E-2"/>
    <n v="14960.988296488946"/>
    <n v="10212.994635789053"/>
    <s v="Luiz"/>
    <s v="Luiz"/>
    <x v="0"/>
  </r>
  <r>
    <x v="48"/>
    <x v="0"/>
    <x v="54"/>
    <n v="0"/>
    <n v="0"/>
    <n v="0"/>
    <n v="0"/>
    <n v="1.1508452535760727"/>
    <n v="0"/>
    <n v="1.1508452535760727"/>
    <n v="0"/>
    <n v="0"/>
    <n v="0"/>
    <n v="0.02"/>
    <n v="3.5000000000000003E-2"/>
    <n v="-1.1508452535760727"/>
    <n v="0"/>
    <n v="0"/>
    <n v="0"/>
    <x v="0"/>
    <n v="3"/>
    <n v="0"/>
    <n v="1.2178256651598653"/>
    <n v="0.40594188838662176"/>
    <n v="5.5000000000000007E-2"/>
    <n v="1.1508452535760727"/>
    <n v="0"/>
    <e v="#DIV/0!"/>
    <n v="0"/>
    <n v="0"/>
    <n v="0"/>
    <n v="4432.8756099999982"/>
    <n v="0"/>
    <n v="1150.8452535760728"/>
    <n v="0"/>
    <s v="Luisa"/>
    <s v="Luisa"/>
    <x v="0"/>
  </r>
  <r>
    <x v="49"/>
    <x v="0"/>
    <x v="55"/>
    <n v="0"/>
    <n v="0"/>
    <n v="0"/>
    <n v="0"/>
    <n v="0.38361508452535759"/>
    <n v="0"/>
    <n v="0.38361508452535759"/>
    <n v="0"/>
    <n v="0"/>
    <n v="0"/>
    <n v="0.02"/>
    <n v="3.5000000000000003E-2"/>
    <n v="-0.38361508452535759"/>
    <n v="0"/>
    <n v="0"/>
    <n v="0"/>
    <x v="0"/>
    <n v="1"/>
    <n v="0"/>
    <n v="0.40594188838662182"/>
    <n v="0.40594188838662182"/>
    <n v="5.5000000000000007E-2"/>
    <n v="0.38361508452535759"/>
    <n v="0"/>
    <e v="#DIV/0!"/>
    <n v="0"/>
    <n v="0"/>
    <n v="0"/>
    <n v="4432.8756099999982"/>
    <n v="0"/>
    <n v="383.61508452535759"/>
    <n v="0"/>
    <s v="Luisa"/>
    <s v="Luisa"/>
    <x v="0"/>
  </r>
  <r>
    <x v="50"/>
    <x v="0"/>
    <x v="56"/>
    <n v="0"/>
    <n v="0"/>
    <n v="0"/>
    <n v="0"/>
    <n v="0.38361508452535759"/>
    <n v="0"/>
    <n v="0.38361508452535759"/>
    <n v="0"/>
    <n v="0"/>
    <n v="0"/>
    <n v="0.02"/>
    <n v="3.5000000000000003E-2"/>
    <n v="-0.38361508452535759"/>
    <n v="0"/>
    <n v="0"/>
    <n v="0"/>
    <x v="0"/>
    <n v="1"/>
    <n v="0"/>
    <n v="0.40594188838662182"/>
    <n v="0.40594188838662182"/>
    <n v="5.5000000000000007E-2"/>
    <n v="0.38361508452535759"/>
    <n v="0"/>
    <e v="#DIV/0!"/>
    <n v="0"/>
    <n v="0"/>
    <n v="0"/>
    <n v="4432.8756099999982"/>
    <n v="0"/>
    <n v="383.61508452535759"/>
    <n v="0"/>
    <s v="Luisa"/>
    <s v="Luisa"/>
    <x v="0"/>
  </r>
  <r>
    <x v="49"/>
    <x v="0"/>
    <x v="57"/>
    <n v="0"/>
    <n v="0"/>
    <n v="0"/>
    <n v="0"/>
    <n v="0.38361508452535759"/>
    <n v="0"/>
    <n v="0.38361508452535759"/>
    <n v="0"/>
    <n v="0"/>
    <n v="0"/>
    <n v="0.02"/>
    <n v="3.5000000000000003E-2"/>
    <n v="-0.38361508452535759"/>
    <n v="0"/>
    <n v="0"/>
    <n v="0"/>
    <x v="0"/>
    <n v="1"/>
    <n v="0"/>
    <n v="0.40594188838662182"/>
    <n v="0.40594188838662182"/>
    <n v="5.5000000000000007E-2"/>
    <n v="0.38361508452535759"/>
    <n v="0"/>
    <e v="#DIV/0!"/>
    <n v="0"/>
    <n v="0"/>
    <n v="0"/>
    <n v="4432.8756099999982"/>
    <n v="0"/>
    <n v="383.61508452535759"/>
    <n v="0"/>
    <s v="Luisa"/>
    <s v="Luisa"/>
    <x v="0"/>
  </r>
  <r>
    <x v="51"/>
    <x v="0"/>
    <x v="58"/>
    <n v="0.54407828603955488"/>
    <n v="0"/>
    <n v="0"/>
    <n v="0"/>
    <n v="0.38361508452535759"/>
    <n v="0"/>
    <n v="0.38361508452535759"/>
    <n v="0"/>
    <n v="0"/>
    <n v="0"/>
    <n v="0.02"/>
    <n v="3.5000000000000003E-2"/>
    <n v="-0.38361508452535759"/>
    <n v="0"/>
    <n v="0"/>
    <n v="0"/>
    <x v="0"/>
    <n v="1"/>
    <n v="0"/>
    <n v="0.95683289571890096"/>
    <n v="0.95683289571890096"/>
    <n v="0.59907828603955493"/>
    <n v="0.38361508452535759"/>
    <n v="0"/>
    <e v="#DIV/0!"/>
    <n v="0"/>
    <n v="0"/>
    <n v="0"/>
    <n v="4432.8756099999982"/>
    <n v="0"/>
    <n v="383.61508452535759"/>
    <n v="0"/>
    <s v="Luisa"/>
    <s v="Luisa"/>
    <x v="0"/>
  </r>
  <r>
    <x v="52"/>
    <x v="3"/>
    <x v="59"/>
    <n v="0.48973809523809525"/>
    <n v="125.99999999999999"/>
    <n v="31.638999999999999"/>
    <n v="94.36099999999999"/>
    <n v="73.469714948342713"/>
    <n v="61.706999999999994"/>
    <n v="0"/>
    <n v="1.0527149483427265"/>
    <n v="10.709999999999999"/>
    <n v="0.03"/>
    <n v="0.02"/>
    <n v="3.5000000000000003E-2"/>
    <n v="20.891285051657277"/>
    <n v="0.2213974528847435"/>
    <n v="15.494823595238095"/>
    <n v="0.25110317460317461"/>
    <x v="0"/>
    <n v="0"/>
    <n v="3.7799999999999994"/>
    <n v="76.8743087078212"/>
    <n v="76.8743087078212"/>
    <n v="0.57473809523809527"/>
    <n v="1.0527149483427265"/>
    <n v="2992.2630099999983"/>
    <n v="4.2108597933709059E-2"/>
    <n v="2.8423987290723918E-2"/>
    <n v="1052.7149483427265"/>
    <n v="0"/>
    <n v="4432.8756099999982"/>
    <n v="2.8423987290723918E-2"/>
    <n v="0"/>
    <n v="1052.7149483427265"/>
    <s v="Luiz"/>
    <s v="Luiz"/>
    <x v="0"/>
  </r>
  <r>
    <x v="53"/>
    <x v="3"/>
    <x v="60"/>
    <n v="0"/>
    <n v="0"/>
    <n v="14.077999999999999"/>
    <n v="-14.077999999999999"/>
    <n v="0"/>
    <n v="0"/>
    <n v="0"/>
    <n v="0"/>
    <n v="0"/>
    <n v="7.9000000000000001E-2"/>
    <n v="0.02"/>
    <n v="3.5000000000000003E-2"/>
    <n v="-14.077999999999999"/>
    <n v="1"/>
    <n v="0"/>
    <n v="0"/>
    <x v="0"/>
    <n v="0"/>
    <n v="0"/>
    <n v="16.25635103926097"/>
    <n v="16.25635103926097"/>
    <n v="0.13400000000000001"/>
    <n v="0"/>
    <n v="2992.2630099999983"/>
    <n v="0"/>
    <n v="0"/>
    <n v="0"/>
    <n v="0"/>
    <n v="4432.8756099999982"/>
    <n v="0"/>
    <n v="0"/>
    <n v="0"/>
    <s v="Luiz"/>
    <s v="Luiz"/>
    <x v="0"/>
  </r>
  <r>
    <x v="54"/>
    <x v="1"/>
    <x v="61"/>
    <n v="0.46930422070853151"/>
    <n v="25.720800000000004"/>
    <n v="0"/>
    <n v="25.720800000000004"/>
    <n v="18.399632791925796"/>
    <n v="12.070879999999999"/>
    <n v="0"/>
    <n v="2.8564447919257971"/>
    <n v="3.4723080000000008"/>
    <n v="0.08"/>
    <n v="0.02"/>
    <n v="3.5000000000000003E-2"/>
    <n v="7.3211672080742076"/>
    <n v="0.2846399493046175"/>
    <n v="0"/>
    <n v="0"/>
    <x v="0"/>
    <n v="0"/>
    <n v="2.0576640000000004"/>
    <n v="7.2187901448949932"/>
    <n v="7.2187901448949932"/>
    <n v="0.60430422070853151"/>
    <n v="2.8564447919257971"/>
    <n v="180.08960000000002"/>
    <n v="0.14282223959628987"/>
    <n v="5.8022832722797778E-3"/>
    <n v="2856.4447919257973"/>
    <n v="0"/>
    <n v="4432.8756099999982"/>
    <n v="5.8022832722797778E-3"/>
    <n v="0"/>
    <n v="2856.4447919257973"/>
    <s v="Emerson"/>
    <s v="Emerson"/>
    <x v="0"/>
  </r>
  <r>
    <x v="40"/>
    <x v="3"/>
    <x v="62"/>
    <n v="0.46505709739317658"/>
    <n v="20.512319999999999"/>
    <n v="0"/>
    <n v="20.512319999999999"/>
    <n v="11.454325183247541"/>
    <n v="9.5394000000000041"/>
    <n v="0"/>
    <n v="0.17137798324753556"/>
    <n v="1.7435472000000001"/>
    <n v="0.03"/>
    <n v="0.02"/>
    <n v="3.5000000000000003E-2"/>
    <n v="9.0579948167524584"/>
    <n v="0.44158802206442072"/>
    <n v="0"/>
    <n v="0"/>
    <x v="0"/>
    <n v="0"/>
    <n v="0.61536959999999996"/>
    <n v="0.38088829105788097"/>
    <n v="0.38088829105788097"/>
    <n v="0.55005709739317654"/>
    <n v="0.17137798324753556"/>
    <n v="2992.2630099999983"/>
    <n v="6.8551193299014219E-3"/>
    <n v="4.6273168490735088E-3"/>
    <n v="171.37798324753555"/>
    <n v="0"/>
    <n v="4432.8756099999982"/>
    <n v="4.6273168490735088E-3"/>
    <n v="0"/>
    <n v="171.37798324753555"/>
    <s v="Luiz"/>
    <s v="Luiz"/>
    <x v="0"/>
  </r>
  <r>
    <x v="0"/>
    <x v="0"/>
    <x v="0"/>
    <n v="0"/>
    <n v="0"/>
    <n v="0"/>
    <n v="0"/>
    <n v="5.6266043478260865"/>
    <n v="0"/>
    <n v="4.8913043478260869"/>
    <n v="0.73530000000000006"/>
    <n v="0"/>
    <n v="0.03"/>
    <n v="0.02"/>
    <n v="3.5000000000000003E-2"/>
    <n v="-5.6266043478260865"/>
    <n v="0"/>
    <n v="0"/>
    <n v="0"/>
    <x v="0"/>
    <n v="9"/>
    <n v="0"/>
    <n v="6.1492943692088371"/>
    <n v="0.68325492991209302"/>
    <n v="8.5000000000000006E-2"/>
    <n v="5.6266043478260865"/>
    <n v="149.25999999999996"/>
    <n v="0"/>
    <n v="0"/>
    <n v="0"/>
    <n v="735.30000000000007"/>
    <n v="5434.6991599999992"/>
    <n v="0"/>
    <n v="4891.304347826087"/>
    <n v="735.30000000000007"/>
    <s v="Luisa"/>
    <s v="Luisa"/>
    <x v="1"/>
  </r>
  <r>
    <x v="1"/>
    <x v="0"/>
    <x v="1"/>
    <n v="0.48577101428320613"/>
    <n v="0"/>
    <n v="0"/>
    <n v="0"/>
    <n v="8.3172975386504433"/>
    <n v="0"/>
    <n v="6.5217391304347831"/>
    <n v="1.795558408215661"/>
    <n v="0"/>
    <n v="0"/>
    <n v="0.02"/>
    <n v="3.5000000000000003E-2"/>
    <n v="-8.3172975386504433"/>
    <n v="0"/>
    <n v="0"/>
    <n v="0"/>
    <x v="0"/>
    <n v="12"/>
    <n v="0"/>
    <n v="18.111438513987256"/>
    <n v="1.5092865428322713"/>
    <n v="0.54077101428320618"/>
    <n v="8.3172975386504433"/>
    <n v="149.25999999999996"/>
    <n v="0"/>
    <n v="0"/>
    <n v="0"/>
    <n v="1795.5584082156611"/>
    <n v="5434.6991599999992"/>
    <n v="0"/>
    <n v="6521.739130434783"/>
    <n v="1795.5584082156611"/>
    <s v="Luisa"/>
    <s v="Luisa"/>
    <x v="1"/>
  </r>
  <r>
    <x v="2"/>
    <x v="0"/>
    <x v="2"/>
    <n v="0"/>
    <n v="0"/>
    <n v="0"/>
    <n v="0"/>
    <n v="1.3369565217391306"/>
    <n v="0"/>
    <n v="1.0869565217391306"/>
    <n v="0.25"/>
    <n v="0"/>
    <n v="0"/>
    <n v="0.02"/>
    <n v="3.5000000000000003E-2"/>
    <n v="-1.3369565217391306"/>
    <n v="0"/>
    <n v="0"/>
    <n v="0"/>
    <x v="0"/>
    <n v="2"/>
    <n v="0"/>
    <n v="1.4147688060731543"/>
    <n v="0.70738440303657713"/>
    <n v="5.5000000000000007E-2"/>
    <n v="1.3369565217391306"/>
    <n v="3099.8139599999995"/>
    <n v="0"/>
    <n v="0"/>
    <n v="0"/>
    <n v="250"/>
    <n v="5434.6991599999992"/>
    <n v="0"/>
    <n v="1086.9565217391305"/>
    <n v="250"/>
    <s v="Luisa"/>
    <s v="Luiz"/>
    <x v="1"/>
  </r>
  <r>
    <x v="3"/>
    <x v="0"/>
    <x v="3"/>
    <n v="0"/>
    <n v="0"/>
    <n v="0"/>
    <n v="0"/>
    <n v="0"/>
    <n v="0"/>
    <n v="0"/>
    <n v="0"/>
    <n v="0"/>
    <n v="0"/>
    <n v="0.02"/>
    <n v="3.5000000000000003E-2"/>
    <n v="0"/>
    <n v="0"/>
    <n v="0"/>
    <n v="0"/>
    <x v="0"/>
    <n v="0"/>
    <n v="0"/>
    <n v="0"/>
    <n v="0"/>
    <n v="5.5000000000000007E-2"/>
    <n v="0"/>
    <n v="149.25999999999996"/>
    <n v="0"/>
    <n v="0"/>
    <n v="0"/>
    <n v="0"/>
    <n v="5434.6991599999992"/>
    <n v="0"/>
    <n v="0"/>
    <n v="0"/>
    <s v="Luisa"/>
    <s v="Luisa"/>
    <x v="1"/>
  </r>
  <r>
    <x v="4"/>
    <x v="1"/>
    <x v="4"/>
    <n v="0.39118588522216297"/>
    <n v="6.2980800000000006"/>
    <n v="0"/>
    <n v="6.2980800000000006"/>
    <n v="3.6597400793329662"/>
    <n v="2.4637200000000004"/>
    <n v="0.5434782608695653"/>
    <n v="0.30614741846340071"/>
    <n v="0.3463944000000001"/>
    <n v="0"/>
    <n v="0.02"/>
    <n v="3.5000000000000003E-2"/>
    <n v="2.6383399206670344"/>
    <n v="0.41891178274442914"/>
    <n v="0"/>
    <n v="0"/>
    <x v="0"/>
    <n v="1"/>
    <n v="0"/>
    <n v="1.5341351125978324"/>
    <n v="1.5341351125978324"/>
    <n v="0.44618588522216296"/>
    <n v="0.84962567933296596"/>
    <n v="411.44099999999986"/>
    <n v="1.5307370923170036E-2"/>
    <n v="1.1588645138547102E-3"/>
    <n v="306.1474184634007"/>
    <n v="0"/>
    <n v="5434.6991599999992"/>
    <n v="1.1588645138547102E-3"/>
    <n v="543.47826086956525"/>
    <n v="306.1474184634007"/>
    <s v="Luisa"/>
    <s v="Emerson"/>
    <x v="1"/>
  </r>
  <r>
    <x v="5"/>
    <x v="0"/>
    <x v="5"/>
    <n v="0"/>
    <n v="0"/>
    <n v="0"/>
    <n v="0"/>
    <n v="0"/>
    <n v="0"/>
    <n v="0"/>
    <n v="0"/>
    <n v="0"/>
    <n v="0"/>
    <n v="0.02"/>
    <n v="3.5000000000000003E-2"/>
    <n v="0"/>
    <n v="0"/>
    <n v="0"/>
    <n v="0"/>
    <x v="0"/>
    <n v="0"/>
    <n v="0"/>
    <n v="0"/>
    <n v="0"/>
    <n v="5.5000000000000007E-2"/>
    <n v="0"/>
    <n v="149.25999999999996"/>
    <n v="0"/>
    <n v="0"/>
    <n v="0"/>
    <n v="0"/>
    <n v="5434.6991599999992"/>
    <n v="0"/>
    <n v="0"/>
    <n v="0"/>
    <s v="Luisa"/>
    <s v="Luisa"/>
    <x v="1"/>
  </r>
  <r>
    <x v="6"/>
    <x v="0"/>
    <x v="6"/>
    <n v="0"/>
    <n v="0"/>
    <n v="0"/>
    <n v="0"/>
    <n v="10.677092173913044"/>
    <n v="0"/>
    <n v="8.6956521739130448"/>
    <n v="1.9814399999999996"/>
    <n v="0"/>
    <n v="0.03"/>
    <n v="0.02"/>
    <n v="3.5000000000000003E-2"/>
    <n v="-10.677092173913044"/>
    <n v="0"/>
    <n v="0"/>
    <n v="0"/>
    <x v="0"/>
    <n v="16"/>
    <n v="0"/>
    <n v="11.668953195533382"/>
    <n v="0.72930957472083635"/>
    <n v="8.5000000000000006E-2"/>
    <n v="10.677092173913044"/>
    <n v="3099.8139599999995"/>
    <n v="0"/>
    <n v="0"/>
    <n v="0"/>
    <n v="1981.4399999999996"/>
    <n v="5434.6991599999992"/>
    <n v="0"/>
    <n v="8695.652173913044"/>
    <n v="1981.4399999999996"/>
    <s v="Luisa"/>
    <s v="Luiz"/>
    <x v="1"/>
  </r>
  <r>
    <x v="7"/>
    <x v="0"/>
    <x v="7"/>
    <n v="0.48243049503837193"/>
    <n v="11.38336"/>
    <n v="0"/>
    <n v="11.38336"/>
    <n v="6.9530498607847466"/>
    <n v="5.4916800000000014"/>
    <n v="0.5434782608695653"/>
    <n v="0.29180679991517944"/>
    <n v="0.62608480000000011"/>
    <n v="0"/>
    <n v="0.02"/>
    <n v="3.5000000000000003E-2"/>
    <n v="4.4303101392152531"/>
    <n v="0.38919177986247061"/>
    <n v="0"/>
    <n v="0"/>
    <x v="0"/>
    <n v="1"/>
    <n v="0"/>
    <n v="1.8057503830781816"/>
    <n v="1.8057503830781816"/>
    <n v="0.53743049503837192"/>
    <n v="0.83528506078474474"/>
    <n v="3099.8139599999995"/>
    <n v="3.6722719966071774E-3"/>
    <n v="2.0945704012068998E-3"/>
    <n v="91.80679991517944"/>
    <n v="200"/>
    <n v="5434.6991599999992"/>
    <n v="2.0945704012068998E-3"/>
    <n v="543.47826086956525"/>
    <n v="291.80679991517945"/>
    <s v="Luisa"/>
    <s v="Luiz"/>
    <x v="1"/>
  </r>
  <r>
    <x v="7"/>
    <x v="0"/>
    <x v="8"/>
    <n v="0.47939049619764507"/>
    <n v="53.238059999999983"/>
    <n v="4.8142800000000001"/>
    <n v="48.423779999999979"/>
    <n v="31.853171304464492"/>
    <n v="25.521819999999991"/>
    <n v="2.1739130434782612"/>
    <n v="1.229344960986239"/>
    <n v="2.9280932999999996"/>
    <n v="0"/>
    <n v="0.02"/>
    <n v="3.5000000000000003E-2"/>
    <n v="16.570608695535487"/>
    <n v="0.3421998178484929"/>
    <n v="2.3079200780343987"/>
    <n v="9.0429290624038552E-2"/>
    <x v="0"/>
    <n v="4"/>
    <n v="0"/>
    <n v="17.648991133893901"/>
    <n v="4.4122477834734752"/>
    <n v="0.53439049619764512"/>
    <n v="3.4032580044645"/>
    <n v="3099.8139599999995"/>
    <n v="1.717459843944957E-2"/>
    <n v="9.7959534525550434E-3"/>
    <n v="429.36496098623923"/>
    <n v="799.98"/>
    <n v="5434.6991599999992"/>
    <n v="9.7959534525550434E-3"/>
    <n v="2173.913043478261"/>
    <n v="1229.3449609862391"/>
    <s v="Luisa"/>
    <s v="Luiz"/>
    <x v="1"/>
  </r>
  <r>
    <x v="8"/>
    <x v="0"/>
    <x v="9"/>
    <n v="0.48194269884833402"/>
    <n v="15.594800000000001"/>
    <n v="25.48141"/>
    <n v="-9.8866099999999992"/>
    <n v="14.457165890162697"/>
    <n v="7.5157999999999996"/>
    <n v="3.804347826086957"/>
    <n v="0.87577206407574215"/>
    <n v="2.2612460000000003"/>
    <n v="0.09"/>
    <n v="0.02"/>
    <n v="3.5000000000000003E-2"/>
    <n v="-24.343775890162696"/>
    <n v="2.4622975812905232"/>
    <n v="12.280579505860928"/>
    <n v="1.633968374073409"/>
    <x v="0"/>
    <n v="7"/>
    <n v="1.403532"/>
    <n v="80.849590122083043"/>
    <n v="11.549941446011863"/>
    <n v="0.62694269884833398"/>
    <n v="4.6801198901626995"/>
    <n v="3099.8139599999995"/>
    <n v="5.0308825630296867E-3"/>
    <n v="2.8694872597142991E-3"/>
    <n v="125.77206407574216"/>
    <n v="750"/>
    <n v="5434.6991599999992"/>
    <n v="2.8694872597142991E-3"/>
    <n v="3804.347826086957"/>
    <n v="875.77206407574215"/>
    <s v="Luisa"/>
    <s v="Luiz"/>
    <x v="1"/>
  </r>
  <r>
    <x v="9"/>
    <x v="0"/>
    <x v="10"/>
    <n v="0"/>
    <n v="0"/>
    <n v="0"/>
    <n v="0"/>
    <n v="0"/>
    <n v="0"/>
    <n v="0"/>
    <n v="0"/>
    <n v="0"/>
    <n v="0"/>
    <n v="0.02"/>
    <n v="3.5000000000000003E-2"/>
    <n v="0"/>
    <n v="0"/>
    <n v="0"/>
    <n v="0"/>
    <x v="0"/>
    <n v="0"/>
    <n v="0"/>
    <n v="0"/>
    <n v="0"/>
    <n v="5.5000000000000007E-2"/>
    <n v="0"/>
    <n v="149.25999999999996"/>
    <n v="0"/>
    <n v="0"/>
    <n v="0"/>
    <n v="0"/>
    <n v="5434.6991599999992"/>
    <n v="0"/>
    <n v="0"/>
    <n v="0"/>
    <s v="Luisa"/>
    <s v="Luisa"/>
    <x v="1"/>
  </r>
  <r>
    <x v="10"/>
    <x v="1"/>
    <x v="11"/>
    <n v="0"/>
    <n v="0"/>
    <n v="0"/>
    <n v="0"/>
    <n v="1.0869565217391306"/>
    <n v="0"/>
    <n v="1.0869565217391306"/>
    <n v="0"/>
    <n v="0"/>
    <n v="0"/>
    <n v="0.02"/>
    <n v="3.5000000000000003E-2"/>
    <n v="-1.0869565217391306"/>
    <n v="0"/>
    <n v="0"/>
    <n v="0"/>
    <x v="0"/>
    <n v="2"/>
    <n v="0"/>
    <n v="1.1502185415228896"/>
    <n v="0.5751092707614448"/>
    <n v="5.5000000000000007E-2"/>
    <n v="1.0869565217391306"/>
    <n v="411.44099999999986"/>
    <n v="0"/>
    <n v="0"/>
    <n v="0"/>
    <n v="0"/>
    <n v="5434.6991599999992"/>
    <n v="0"/>
    <n v="1086.9565217391305"/>
    <n v="0"/>
    <s v="Luisa"/>
    <s v="Emerson"/>
    <x v="1"/>
  </r>
  <r>
    <x v="11"/>
    <x v="0"/>
    <x v="12"/>
    <n v="0"/>
    <n v="0"/>
    <n v="0"/>
    <n v="0"/>
    <n v="0"/>
    <n v="0"/>
    <n v="0"/>
    <n v="0"/>
    <n v="0"/>
    <n v="0"/>
    <n v="0.02"/>
    <n v="3.5000000000000003E-2"/>
    <n v="0"/>
    <n v="0"/>
    <n v="0"/>
    <n v="0"/>
    <x v="0"/>
    <n v="0"/>
    <n v="0"/>
    <n v="0"/>
    <n v="0"/>
    <n v="5.5000000000000007E-2"/>
    <n v="0"/>
    <n v="149.25999999999996"/>
    <n v="0"/>
    <n v="0"/>
    <n v="0"/>
    <n v="0"/>
    <n v="5434.6991599999992"/>
    <n v="0"/>
    <n v="0"/>
    <n v="0"/>
    <s v="Luisa"/>
    <s v="Luisa"/>
    <x v="1"/>
  </r>
  <r>
    <x v="12"/>
    <x v="2"/>
    <x v="13"/>
    <n v="0"/>
    <n v="0"/>
    <n v="0"/>
    <n v="0"/>
    <n v="0"/>
    <n v="0"/>
    <n v="0"/>
    <n v="0"/>
    <n v="0"/>
    <n v="0.06"/>
    <n v="0.02"/>
    <n v="3.5000000000000003E-2"/>
    <n v="0"/>
    <n v="0"/>
    <n v="0"/>
    <n v="0"/>
    <x v="0"/>
    <n v="0"/>
    <n v="0"/>
    <n v="0"/>
    <n v="0"/>
    <n v="0.115"/>
    <n v="0"/>
    <n v="149.25999999999996"/>
    <n v="0"/>
    <n v="0"/>
    <n v="0"/>
    <n v="0"/>
    <n v="5434.6991599999992"/>
    <n v="0"/>
    <n v="0"/>
    <n v="0"/>
    <s v="Luisa"/>
    <s v="Luisa"/>
    <x v="1"/>
  </r>
  <r>
    <x v="13"/>
    <x v="0"/>
    <x v="14"/>
    <n v="0.49071357119039688"/>
    <n v="0"/>
    <n v="0"/>
    <n v="0"/>
    <n v="0.65241826086956534"/>
    <n v="0"/>
    <n v="0.5434782608695653"/>
    <n v="0.10894"/>
    <n v="0"/>
    <n v="0"/>
    <n v="0.02"/>
    <n v="3.5000000000000003E-2"/>
    <n v="-0.65241826086956534"/>
    <n v="0"/>
    <n v="0"/>
    <n v="0"/>
    <x v="0"/>
    <n v="1"/>
    <n v="0"/>
    <n v="1.4361385669810569"/>
    <n v="1.4361385669810569"/>
    <n v="0.54571357119039687"/>
    <n v="0.65241826086956534"/>
    <n v="149.25999999999996"/>
    <n v="0"/>
    <n v="0"/>
    <n v="0"/>
    <n v="108.94"/>
    <n v="5434.6991599999992"/>
    <n v="0"/>
    <n v="543.47826086956525"/>
    <n v="108.94"/>
    <s v="Luisa"/>
    <s v="Luisa"/>
    <x v="1"/>
  </r>
  <r>
    <x v="14"/>
    <x v="0"/>
    <x v="15"/>
    <n v="0"/>
    <n v="0"/>
    <n v="0"/>
    <n v="0"/>
    <n v="3.1258913043478262"/>
    <n v="0"/>
    <n v="2.7173913043478262"/>
    <n v="0.40849999999999997"/>
    <n v="0"/>
    <n v="0"/>
    <n v="0.02"/>
    <n v="3.5000000000000003E-2"/>
    <n v="-3.1258913043478262"/>
    <n v="0"/>
    <n v="0"/>
    <n v="0"/>
    <x v="0"/>
    <n v="5"/>
    <n v="0"/>
    <n v="3.3078214860823558"/>
    <n v="0.66156429721647114"/>
    <n v="5.5000000000000007E-2"/>
    <n v="3.1258913043478262"/>
    <n v="149.25999999999996"/>
    <n v="0"/>
    <n v="0"/>
    <n v="0"/>
    <n v="408.5"/>
    <n v="5434.6991599999992"/>
    <n v="0"/>
    <n v="2717.391304347826"/>
    <n v="408.5"/>
    <s v="Luisa"/>
    <s v="Luisa"/>
    <x v="1"/>
  </r>
  <r>
    <x v="15"/>
    <x v="0"/>
    <x v="16"/>
    <n v="0.48190611187300297"/>
    <n v="32.56514"/>
    <n v="6.5744999999999996"/>
    <n v="25.990639999999999"/>
    <n v="26.77503878589453"/>
    <n v="15.693340000000005"/>
    <n v="5.9782608695652177"/>
    <n v="2.3354010163293117"/>
    <n v="2.7680369000000002"/>
    <n v="0.03"/>
    <n v="0.02"/>
    <n v="3.5000000000000003E-2"/>
    <n v="-0.78439878589453116"/>
    <n v="-3.0180048890467152E-2"/>
    <n v="3.1682917325090578"/>
    <n v="0.20188766269698211"/>
    <x v="0"/>
    <n v="11"/>
    <n v="0.97695419999999999"/>
    <n v="34.376291825039203"/>
    <n v="3.1251174386399274"/>
    <n v="0.56690611187300299"/>
    <n v="8.313661885894529"/>
    <n v="3099.8139599999995"/>
    <n v="1.0505514337383011E-2"/>
    <n v="5.9920777657175789E-3"/>
    <n v="262.63785843457526"/>
    <n v="2072.7631578947367"/>
    <n v="5434.6991599999992"/>
    <n v="5.9920777657175789E-3"/>
    <n v="5978.2608695652179"/>
    <n v="2335.4010163293119"/>
    <s v="Luisa"/>
    <s v="Luiz"/>
    <x v="1"/>
  </r>
  <r>
    <x v="16"/>
    <x v="0"/>
    <x v="17"/>
    <n v="0"/>
    <n v="0"/>
    <n v="0"/>
    <n v="0"/>
    <n v="6.1963043478260866"/>
    <n v="0"/>
    <n v="4.8913043478260869"/>
    <n v="1.3049999999999999"/>
    <n v="0"/>
    <n v="6.5000000000000002E-2"/>
    <n v="0.02"/>
    <n v="3.5000000000000003E-2"/>
    <n v="-6.1963043478260866"/>
    <n v="0"/>
    <n v="0"/>
    <n v="0"/>
    <x v="0"/>
    <n v="9"/>
    <n v="0"/>
    <n v="7.041254940711462"/>
    <n v="0.78236166007905128"/>
    <n v="0.12000000000000001"/>
    <n v="6.1963043478260866"/>
    <n v="149.25999999999996"/>
    <n v="0"/>
    <n v="0"/>
    <n v="0"/>
    <n v="1305"/>
    <n v="5434.6991599999992"/>
    <n v="0"/>
    <n v="4891.304347826087"/>
    <n v="1305"/>
    <s v="Luisa"/>
    <s v="Luisa"/>
    <x v="1"/>
  </r>
  <r>
    <x v="17"/>
    <x v="1"/>
    <x v="18"/>
    <n v="0.47611108464726348"/>
    <n v="12.595800000000001"/>
    <n v="0"/>
    <n v="12.595800000000001"/>
    <n v="8.6890028591945629"/>
    <n v="5.9970000000000017"/>
    <n v="1.0869565217391306"/>
    <n v="0.91227733745543127"/>
    <n v="0.69276900000000008"/>
    <n v="0"/>
    <n v="0.02"/>
    <n v="3.5000000000000003E-2"/>
    <n v="3.9067971408054376"/>
    <n v="0.31016665402796467"/>
    <n v="0"/>
    <n v="0"/>
    <x v="0"/>
    <n v="2"/>
    <n v="0"/>
    <n v="4.2637686533719297"/>
    <n v="2.1318843266859648"/>
    <n v="0.53111108464726353"/>
    <n v="1.999233859194562"/>
    <n v="411.44099999999986"/>
    <n v="3.0613866872771563E-2"/>
    <n v="2.3176627866923183E-3"/>
    <n v="612.27733745543128"/>
    <n v="300"/>
    <n v="5434.6991599999992"/>
    <n v="2.3176627866923183E-3"/>
    <n v="1086.9565217391305"/>
    <n v="912.27733745543128"/>
    <s v="Luisa"/>
    <s v="Emerson"/>
    <x v="1"/>
  </r>
  <r>
    <x v="18"/>
    <x v="0"/>
    <x v="19"/>
    <n v="0"/>
    <n v="0"/>
    <n v="0"/>
    <n v="0"/>
    <n v="3.4173913043478263"/>
    <n v="0"/>
    <n v="2.7173913043478262"/>
    <n v="0.7"/>
    <n v="0"/>
    <n v="0"/>
    <n v="0.02"/>
    <n v="3.5000000000000003E-2"/>
    <n v="-3.4173913043478263"/>
    <n v="0"/>
    <n v="0"/>
    <n v="0"/>
    <x v="0"/>
    <n v="5"/>
    <n v="0"/>
    <n v="3.6162870945479644"/>
    <n v="0.72325741890959283"/>
    <n v="5.5000000000000007E-2"/>
    <n v="3.4173913043478263"/>
    <n v="149.25999999999996"/>
    <n v="0"/>
    <n v="0"/>
    <n v="0"/>
    <n v="700"/>
    <n v="5434.6991599999992"/>
    <n v="0"/>
    <n v="2717.391304347826"/>
    <n v="700"/>
    <s v="Luisa"/>
    <s v="Luisa"/>
    <x v="1"/>
  </r>
  <r>
    <x v="19"/>
    <x v="2"/>
    <x v="20"/>
    <n v="0.4334431312824305"/>
    <n v="72.909679999999994"/>
    <n v="0"/>
    <n v="72.909679999999994"/>
    <n v="75.441534933371372"/>
    <n v="31.602199999999996"/>
    <n v="18.478260869565219"/>
    <n v="13.330976863806161"/>
    <n v="12.0300972"/>
    <n v="0.11"/>
    <n v="0.02"/>
    <n v="3.5000000000000003E-2"/>
    <n v="-2.5318549333713776"/>
    <n v="-3.4725909280789294E-2"/>
    <n v="0"/>
    <n v="0"/>
    <x v="0"/>
    <n v="34"/>
    <n v="8.0200648000000001"/>
    <n v="79.21477681345317"/>
    <n v="2.3298463768662696"/>
    <n v="0.59844313128243054"/>
    <n v="31.809237733371379"/>
    <n v="1774.1842000000001"/>
    <n v="4.1094763441135364E-2"/>
    <n v="1.3415587110437223E-2"/>
    <n v="1027.3690860283841"/>
    <n v="12303.607777777777"/>
    <n v="5434.6991599999992"/>
    <n v="1.3415587110437223E-2"/>
    <n v="18478.26086956522"/>
    <n v="13330.976863806161"/>
    <s v="Leandro"/>
    <s v="Leandro"/>
    <x v="1"/>
  </r>
  <r>
    <x v="20"/>
    <x v="2"/>
    <x v="21"/>
    <n v="0.48088660456151616"/>
    <n v="498.07999999999993"/>
    <n v="49.440069999999999"/>
    <n v="448.63992999999994"/>
    <n v="323.22455871991281"/>
    <n v="239.51999999999992"/>
    <n v="11.956521739130435"/>
    <n v="11.97843698078249"/>
    <n v="59.769599999999997"/>
    <n v="6.5000000000000002E-2"/>
    <n v="0.02"/>
    <n v="3.5000000000000003E-2"/>
    <n v="125.41537128008713"/>
    <n v="0.27954571783230964"/>
    <n v="23.775067391583679"/>
    <n v="9.9261303405075496E-2"/>
    <x v="0"/>
    <n v="22"/>
    <n v="32.3752"/>
    <n v="183.84506648617955"/>
    <n v="8.3565939311899786"/>
    <n v="0.60088660456151621"/>
    <n v="23.934958719912927"/>
    <n v="1774.1842000000001"/>
    <n v="0.2807374792312996"/>
    <n v="9.1648127216668235E-2"/>
    <n v="7018.4369807824896"/>
    <n v="4960"/>
    <n v="5434.6991599999992"/>
    <n v="9.1648127216668235E-2"/>
    <n v="11956.521739130436"/>
    <n v="11978.43698078249"/>
    <s v="Leandro"/>
    <s v="Leandro"/>
    <x v="1"/>
  </r>
  <r>
    <x v="21"/>
    <x v="2"/>
    <x v="22"/>
    <n v="0.44535122723484644"/>
    <n v="239.16680000000008"/>
    <n v="0"/>
    <n v="239.16680000000008"/>
    <n v="185.89965637932119"/>
    <n v="106.5132278938311"/>
    <n v="18.478260869565219"/>
    <n v="31.012317615924861"/>
    <n v="29.89585000000001"/>
    <n v="7.0000000000000007E-2"/>
    <n v="0.02"/>
    <n v="3.5000000000000003E-2"/>
    <n v="53.267143620678894"/>
    <n v="0.22271964010338757"/>
    <n v="0"/>
    <n v="0"/>
    <x v="0"/>
    <n v="34"/>
    <n v="16.741676000000009"/>
    <n v="115.18845536780266"/>
    <n v="3.3878957461118429"/>
    <n v="0.57035122723484644"/>
    <n v="49.490578485490076"/>
    <n v="1774.1842000000001"/>
    <n v="0.13480381574810557"/>
    <n v="4.4007366913755744E-2"/>
    <n v="3370.0953937026393"/>
    <n v="27642.222222222223"/>
    <n v="5434.6991599999992"/>
    <n v="4.4007366913755744E-2"/>
    <n v="18478.26086956522"/>
    <n v="31012.317615924861"/>
    <s v="Leandro"/>
    <s v="Leandro"/>
    <x v="1"/>
  </r>
  <r>
    <x v="22"/>
    <x v="2"/>
    <x v="23"/>
    <n v="0.49411286336166343"/>
    <n v="250.85200000000012"/>
    <n v="0"/>
    <n v="250.85200000000012"/>
    <n v="182.02096961306859"/>
    <n v="123.94920000000005"/>
    <n v="13.043478260869566"/>
    <n v="8.6547513521989448"/>
    <n v="36.37354000000002"/>
    <n v="0.09"/>
    <n v="0.02"/>
    <n v="3.5000000000000003E-2"/>
    <n v="68.831030386931531"/>
    <n v="0.27438900382269826"/>
    <n v="0"/>
    <n v="0"/>
    <x v="0"/>
    <n v="24"/>
    <n v="22.57668000000001"/>
    <n v="60.124696643907853"/>
    <n v="2.5051956934961606"/>
    <n v="0.6391128633616634"/>
    <n v="21.698229613068513"/>
    <n v="1774.1842000000001"/>
    <n v="0.14139005408795777"/>
    <n v="4.6157476727745894E-2"/>
    <n v="3534.751352198944"/>
    <n v="5120"/>
    <n v="5434.6991599999992"/>
    <n v="4.6157476727745894E-2"/>
    <n v="13043.478260869566"/>
    <n v="8654.751352198944"/>
    <s v="Leandro"/>
    <s v="Leandro"/>
    <x v="1"/>
  </r>
  <r>
    <x v="23"/>
    <x v="2"/>
    <x v="24"/>
    <n v="0.49932433835257717"/>
    <n v="44.312119999999979"/>
    <n v="0"/>
    <n v="44.312119999999979"/>
    <n v="34.63807655326854"/>
    <n v="22.12611999999999"/>
    <n v="5.4347826086956523"/>
    <n v="2.4244013445729022"/>
    <n v="4.6527725999999978"/>
    <n v="0.05"/>
    <n v="0.02"/>
    <n v="3.5000000000000003E-2"/>
    <n v="9.6740434467314387"/>
    <n v="0.21831596968800959"/>
    <n v="0"/>
    <n v="0"/>
    <x v="0"/>
    <n v="10"/>
    <n v="2.2156059999999989"/>
    <n v="19.862692389383518"/>
    <n v="1.9862692389383518"/>
    <n v="0.60432433835257715"/>
    <n v="7.8591839532685546"/>
    <n v="1774.1842000000001"/>
    <n v="2.4976053782916102E-2"/>
    <n v="8.15355527425367E-3"/>
    <n v="624.40134457290253"/>
    <n v="1800"/>
    <n v="5434.6991599999992"/>
    <n v="8.15355527425367E-3"/>
    <n v="5434.782608695652"/>
    <n v="2424.4013445729024"/>
    <s v="Leandro"/>
    <s v="Leandro"/>
    <x v="1"/>
  </r>
  <r>
    <x v="24"/>
    <x v="2"/>
    <x v="25"/>
    <n v="0.53384855495799077"/>
    <n v="196.57560000000001"/>
    <n v="12.303000000000001"/>
    <n v="184.27260000000001"/>
    <n v="145.61610219982725"/>
    <n v="104.94160000000002"/>
    <n v="9.7826086956521738"/>
    <n v="6.319943504175046"/>
    <n v="24.571950000000001"/>
    <n v="7.0000000000000007E-2"/>
    <n v="0.02"/>
    <n v="3.5000000000000003E-2"/>
    <n v="38.656497800172758"/>
    <n v="0.20977887000114373"/>
    <n v="6.5679387716481612"/>
    <n v="6.258660790047188E-2"/>
    <x v="0"/>
    <n v="18"/>
    <n v="13.760292000000002"/>
    <n v="83.263760457849955"/>
    <n v="4.6257644698805533"/>
    <n v="0.65884855495799077"/>
    <n v="16.102552199827219"/>
    <n v="1774.1842000000001"/>
    <n v="0.11079774016700182"/>
    <n v="3.6170465781587079E-2"/>
    <n v="2769.9435041750457"/>
    <n v="3550"/>
    <n v="5434.6991599999992"/>
    <n v="3.6170465781587079E-2"/>
    <n v="9782.608695652174"/>
    <n v="6319.9435041750457"/>
    <s v="Leandro"/>
    <s v="Leandro"/>
    <x v="1"/>
  </r>
  <r>
    <x v="25"/>
    <x v="2"/>
    <x v="26"/>
    <n v="0.58638754319398345"/>
    <n v="472.2879999999999"/>
    <n v="75.077100000000002"/>
    <n v="397.21089999999992"/>
    <n v="401.74583277332221"/>
    <n v="276.94380000000001"/>
    <n v="21.739130434782609"/>
    <n v="29.858262338539593"/>
    <n v="73.204639999999998"/>
    <n v="0.1"/>
    <n v="0.02"/>
    <n v="3.5000000000000003E-2"/>
    <n v="-4.5349327733222822"/>
    <n v="-1.1416939397489553E-2"/>
    <n v="44.024276219129014"/>
    <n v="0.1589646571583441"/>
    <x v="0"/>
    <n v="40"/>
    <n v="47.228799999999993"/>
    <n v="489.82363161392453"/>
    <n v="12.245590790348114"/>
    <n v="0.74138754319398348"/>
    <n v="51.597392773322198"/>
    <n v="1774.1842000000001"/>
    <n v="0.26620009354158369"/>
    <n v="8.6902326346984027E-2"/>
    <n v="6655.0023385395925"/>
    <n v="23203.260000000002"/>
    <n v="5434.6991599999992"/>
    <n v="8.6902326346984027E-2"/>
    <n v="21739.130434782608"/>
    <n v="29858.262338539593"/>
    <s v="Leandro"/>
    <s v="Leandro"/>
    <x v="1"/>
  </r>
  <r>
    <x v="26"/>
    <x v="0"/>
    <x v="27"/>
    <n v="0.59939380946000276"/>
    <n v="149.25999999999996"/>
    <n v="0"/>
    <n v="149.25999999999996"/>
    <n v="112.67481999999998"/>
    <n v="89.465519999999984"/>
    <n v="5"/>
    <n v="10"/>
    <n v="8.2092999999999989"/>
    <n v="0"/>
    <n v="0.02"/>
    <n v="3.5000000000000003E-2"/>
    <n v="36.58517999999998"/>
    <n v="0.24511041136272269"/>
    <n v="0"/>
    <n v="0"/>
    <x v="0"/>
    <n v="0"/>
    <n v="0"/>
    <n v="43.402000341958697"/>
    <n v="43.402000341958697"/>
    <n v="0.65439380946000281"/>
    <n v="15"/>
    <n v="149.25999999999996"/>
    <n v="1"/>
    <n v="2.7464261701654152E-2"/>
    <n v="10000"/>
    <n v="0"/>
    <n v="5434.6991599999992"/>
    <n v="2.7464261701654152E-2"/>
    <n v="0"/>
    <n v="10000"/>
    <s v="Luisa"/>
    <s v="Luisa"/>
    <x v="1"/>
  </r>
  <r>
    <x v="27"/>
    <x v="3"/>
    <x v="28"/>
    <n v="0"/>
    <n v="0"/>
    <n v="28.679220000000001"/>
    <n v="-28.679220000000001"/>
    <n v="2.9739130434782615"/>
    <n v="0"/>
    <n v="2.1739130434782612"/>
    <n v="0.8"/>
    <n v="0"/>
    <n v="0.02"/>
    <n v="0.02"/>
    <n v="3.5000000000000003E-2"/>
    <n v="-31.653133043478263"/>
    <n v="1.1036957435898975"/>
    <n v="0"/>
    <n v="0"/>
    <x v="0"/>
    <n v="4"/>
    <n v="0"/>
    <n v="34.219603290246766"/>
    <n v="8.5549008225616916"/>
    <n v="7.5000000000000011E-2"/>
    <n v="2.9739130434782615"/>
    <n v="3099.8139599999995"/>
    <n v="0"/>
    <n v="0"/>
    <n v="0"/>
    <n v="800"/>
    <n v="5434.6991599999992"/>
    <n v="0"/>
    <n v="2173.913043478261"/>
    <n v="800"/>
    <s v="Luiz"/>
    <s v="Luiz"/>
    <x v="1"/>
  </r>
  <r>
    <x v="27"/>
    <x v="3"/>
    <x v="29"/>
    <n v="0.46515152410964677"/>
    <n v="0"/>
    <n v="0.58779999999999999"/>
    <n v="-0.58779999999999999"/>
    <n v="0.71013826086956533"/>
    <n v="0"/>
    <n v="0.5434782608695653"/>
    <n v="0.16666"/>
    <n v="0"/>
    <n v="0.02"/>
    <n v="0.02"/>
    <n v="3.5000000000000003E-2"/>
    <n v="-1.2979382608695653"/>
    <n v="2.2081290589819078"/>
    <n v="0.27341606587165035"/>
    <n v="0"/>
    <x v="0"/>
    <n v="1"/>
    <n v="0"/>
    <n v="2.8225346585231419"/>
    <n v="2.8225346585231419"/>
    <n v="0.54015152410964684"/>
    <n v="0.71013826086956533"/>
    <n v="3099.8139599999995"/>
    <n v="0"/>
    <n v="0"/>
    <n v="0"/>
    <n v="166.66"/>
    <n v="5434.6991599999992"/>
    <n v="0"/>
    <n v="543.47826086956525"/>
    <n v="166.66"/>
    <s v="Luiz"/>
    <s v="Luiz"/>
    <x v="1"/>
  </r>
  <r>
    <x v="28"/>
    <x v="3"/>
    <x v="30"/>
    <n v="0.46619122565414128"/>
    <n v="40.664000000000009"/>
    <n v="11.645"/>
    <n v="29.019000000000009"/>
    <n v="26.492857490578618"/>
    <n v="18.957200000000004"/>
    <n v="3.2608695652173916"/>
    <n v="1.2249879253612244"/>
    <n v="3.0498000000000012"/>
    <n v="0.02"/>
    <n v="0.02"/>
    <n v="3.5000000000000003E-2"/>
    <n v="2.5261425094213905"/>
    <n v="8.7051328764650396E-2"/>
    <n v="5.4287968227424752"/>
    <n v="0.28637123745819393"/>
    <x v="0"/>
    <n v="6"/>
    <n v="0.81328000000000022"/>
    <n v="35.158127726691802"/>
    <n v="5.859687954448634"/>
    <n v="0.54119122565414135"/>
    <n v="4.4858574905786162"/>
    <n v="3099.8139599999995"/>
    <n v="1.3118206616502887E-2"/>
    <n v="7.4822908872843692E-3"/>
    <n v="327.95516541257217"/>
    <n v="897.03275994865214"/>
    <n v="5434.6991599999992"/>
    <n v="7.4822908872843692E-3"/>
    <n v="3260.8695652173915"/>
    <n v="1224.9879253612244"/>
    <s v="Luiz"/>
    <s v="Luiz"/>
    <x v="1"/>
  </r>
  <r>
    <x v="29"/>
    <x v="3"/>
    <x v="31"/>
    <n v="0.50567592540212336"/>
    <n v="169.69920000000002"/>
    <n v="34.82376"/>
    <n v="134.87544000000003"/>
    <n v="153.19455607058779"/>
    <n v="85.812800000000024"/>
    <n v="37.5"/>
    <n v="11.21484407058778"/>
    <n v="18.666912000000004"/>
    <n v="5.5E-2"/>
    <n v="0.02"/>
    <n v="3.5000000000000003E-2"/>
    <n v="-18.319116070587768"/>
    <n v="-0.13582247494864716"/>
    <n v="17.609537063981449"/>
    <n v="0.20520874582791196"/>
    <x v="0"/>
    <n v="69"/>
    <n v="9.3334560000000018"/>
    <n v="217.3650041517574"/>
    <n v="3.1502174514747452"/>
    <n v="0.61567592540212335"/>
    <n v="48.71484407058778"/>
    <n v="3099.8139599999995"/>
    <n v="5.4744962823510879E-2"/>
    <n v="3.1225132248166622E-2"/>
    <n v="1368.6240705877719"/>
    <n v="9846.2200000000084"/>
    <n v="5434.6991599999992"/>
    <n v="3.1225132248166622E-2"/>
    <n v="37500"/>
    <n v="11214.84407058778"/>
    <s v="Luiz"/>
    <s v="Luiz"/>
    <x v="1"/>
  </r>
  <r>
    <x v="30"/>
    <x v="3"/>
    <x v="32"/>
    <n v="0.48019776250649704"/>
    <n v="152.38480000000013"/>
    <n v="63.280290000000001"/>
    <n v="89.104510000000118"/>
    <n v="164.38767745003176"/>
    <n v="73.174840000000117"/>
    <n v="57.065217391304351"/>
    <n v="21.19491205872729"/>
    <n v="12.952708000000012"/>
    <n v="0.03"/>
    <n v="0.02"/>
    <n v="3.5000000000000003E-2"/>
    <n v="-75.283167450031641"/>
    <n v="-0.84488616176702547"/>
    <n v="30.38705366876226"/>
    <n v="0.41526641764795402"/>
    <x v="0"/>
    <n v="105"/>
    <n v="4.5715440000000038"/>
    <n v="325.52826835935173"/>
    <n v="3.1002692224700166"/>
    <n v="0.565197762506497"/>
    <n v="78.260129450031641"/>
    <n v="3099.8139599999995"/>
    <n v="4.9159337291325753E-2"/>
    <n v="2.8039233730096692E-2"/>
    <n v="1228.9834322831439"/>
    <n v="19965.928626444147"/>
    <n v="5434.6991599999992"/>
    <n v="2.8039233730096692E-2"/>
    <n v="57065.217391304352"/>
    <n v="21194.912058727292"/>
    <s v="Luiz"/>
    <s v="Luiz"/>
    <x v="1"/>
  </r>
  <r>
    <x v="31"/>
    <x v="1"/>
    <x v="33"/>
    <n v="0.50217980968068254"/>
    <n v="26.80968"/>
    <n v="0"/>
    <n v="26.80968"/>
    <n v="32.187542443823368"/>
    <n v="13.463280000000001"/>
    <n v="11.413043478260869"/>
    <n v="3.9600089655624982"/>
    <n v="3.35121"/>
    <n v="7.0000000000000007E-2"/>
    <n v="0.02"/>
    <n v="3.5000000000000003E-2"/>
    <n v="-5.3778624438233678"/>
    <n v="-0.20059405572253633"/>
    <n v="0"/>
    <n v="0"/>
    <x v="0"/>
    <n v="21"/>
    <n v="1.8766776000000003"/>
    <n v="41.234495456526837"/>
    <n v="1.9635474026917541"/>
    <n v="0.62717980968068254"/>
    <n v="15.373052443823367"/>
    <n v="411.44099999999986"/>
    <n v="6.5160448278124949E-2"/>
    <n v="4.9330568649176166E-3"/>
    <n v="1303.2089655624991"/>
    <n v="2656.7999999999993"/>
    <n v="5434.6991599999992"/>
    <n v="4.9330568649176166E-3"/>
    <n v="11413.04347826087"/>
    <n v="3960.0089655624984"/>
    <s v="Luisa"/>
    <s v="Emerson"/>
    <x v="1"/>
  </r>
  <r>
    <x v="32"/>
    <x v="3"/>
    <x v="34"/>
    <n v="0.55454154727793692"/>
    <n v="139.60000000000002"/>
    <n v="0"/>
    <n v="139.60000000000002"/>
    <n v="96.692178366407518"/>
    <n v="77.414000000000001"/>
    <n v="4.8913043478260869"/>
    <n v="2.5208740185814249"/>
    <n v="11.866000000000003"/>
    <n v="0.03"/>
    <n v="0.02"/>
    <n v="3.5000000000000003E-2"/>
    <n v="42.907821633592505"/>
    <n v="0.30736261915180874"/>
    <n v="0"/>
    <n v="0"/>
    <x v="0"/>
    <n v="9"/>
    <n v="4.1880000000000006"/>
    <n v="20.563197534787129"/>
    <n v="2.2847997260874586"/>
    <n v="0.63954154727793688"/>
    <n v="7.4121783664075114"/>
    <n v="3099.8139599999995"/>
    <n v="4.5034960743257003E-2"/>
    <n v="2.5686794409425975E-2"/>
    <n v="1125.8740185814252"/>
    <n v="1395"/>
    <n v="5434.6991599999992"/>
    <n v="2.5686794409425975E-2"/>
    <n v="4891.304347826087"/>
    <n v="2520.8740185814249"/>
    <s v="Luiz"/>
    <s v="Luiz"/>
    <x v="1"/>
  </r>
  <r>
    <x v="32"/>
    <x v="3"/>
    <x v="35"/>
    <n v="0.5562156334231807"/>
    <n v="18.55"/>
    <n v="12.9924"/>
    <n v="5.5576000000000008"/>
    <n v="12.587634013338659"/>
    <n v="10.317800000000002"/>
    <n v="0.5434782608695653"/>
    <n v="0.14960575246909338"/>
    <n v="1.5767500000000001"/>
    <n v="0.03"/>
    <n v="0.02"/>
    <n v="3.5000000000000003E-2"/>
    <n v="-7.0300340133386587"/>
    <n v="-1.264940624251234"/>
    <n v="7.226575995687333"/>
    <n v="0.7003989218328841"/>
    <x v="0"/>
    <n v="1"/>
    <n v="0.55649999999999999"/>
    <n v="38.14403660870898"/>
    <n v="38.14403660870898"/>
    <n v="0.64121563342318066"/>
    <n v="0.69308401333865866"/>
    <n v="3099.8139599999995"/>
    <n v="5.9842300987637351E-3"/>
    <n v="3.4132524089889094E-3"/>
    <n v="149.60575246909337"/>
    <n v="0"/>
    <n v="5434.6991599999992"/>
    <n v="3.4132524089889094E-3"/>
    <n v="543.47826086956525"/>
    <n v="149.60575246909337"/>
    <s v="Luiz"/>
    <s v="Luiz"/>
    <x v="1"/>
  </r>
  <r>
    <x v="34"/>
    <x v="3"/>
    <x v="37"/>
    <n v="0.47690005261340179"/>
    <n v="39.852399999999996"/>
    <n v="0.78397220000000001"/>
    <n v="39.068427799999995"/>
    <n v="36.097083963727052"/>
    <n v="19.005611656770331"/>
    <n v="9.7826086956521738"/>
    <n v="3.9214096113045445"/>
    <n v="3.387454"/>
    <n v="0.03"/>
    <n v="0.02"/>
    <n v="3.5000000000000003E-2"/>
    <n v="2.9713438362729434"/>
    <n v="7.6054860755695522E-2"/>
    <n v="0.37387638342744434"/>
    <n v="1.9671894289929843E-2"/>
    <x v="0"/>
    <n v="18"/>
    <n v="1.1955719999999999"/>
    <n v="33.07005762813273"/>
    <n v="1.8372254237851517"/>
    <n v="0.56190005261340181"/>
    <n v="13.704018306956719"/>
    <n v="3099.8139599999995"/>
    <n v="1.285638445218177E-2"/>
    <n v="7.332954194285154E-3"/>
    <n v="321.40961130454423"/>
    <n v="3600"/>
    <n v="5434.6991599999992"/>
    <n v="7.332954194285154E-3"/>
    <n v="9782.608695652174"/>
    <n v="3921.4096113045443"/>
    <s v="Luiz"/>
    <s v="Luiz"/>
    <x v="1"/>
  </r>
  <r>
    <x v="35"/>
    <x v="3"/>
    <x v="38"/>
    <n v="0.5159461248822429"/>
    <n v="137.14679999999998"/>
    <n v="45.693930000000002"/>
    <n v="91.45286999999999"/>
    <n v="107.75760067348811"/>
    <n v="70.760359999999977"/>
    <n v="19.021739130434785"/>
    <n v="6.3180235430533518"/>
    <n v="11.657477999999999"/>
    <n v="0.03"/>
    <n v="0.02"/>
    <n v="3.5000000000000003E-2"/>
    <n v="-16.304730673488123"/>
    <n v="-0.17828560955482453"/>
    <n v="23.575606114140466"/>
    <n v="0.33317532745933559"/>
    <x v="0"/>
    <n v="35"/>
    <n v="4.1144039999999995"/>
    <n v="178.00526972085348"/>
    <n v="5.0858648491672422"/>
    <n v="0.60094612488224286"/>
    <n v="25.339762673488138"/>
    <n v="3099.8139599999995"/>
    <n v="4.4243558410195692E-2"/>
    <n v="2.5235398678443134E-2"/>
    <n v="1106.0889602548923"/>
    <n v="5211.9345827984598"/>
    <n v="5434.6991599999992"/>
    <n v="2.5235398678443134E-2"/>
    <n v="19021.739130434784"/>
    <n v="6318.0235430533521"/>
    <s v="Luiz"/>
    <s v="Luiz"/>
    <x v="1"/>
  </r>
  <r>
    <x v="36"/>
    <x v="1"/>
    <x v="39"/>
    <n v="0.49818458004520028"/>
    <n v="10.7964"/>
    <n v="7.2820900000000002"/>
    <n v="3.51431"/>
    <n v="9.9545219289990658"/>
    <n v="5.3786000000000005"/>
    <n v="1.6304347826086958"/>
    <n v="1.3800091463903696"/>
    <n v="1.5654780000000001"/>
    <n v="0.09"/>
    <n v="0.02"/>
    <n v="3.5000000000000003E-2"/>
    <n v="-6.4402119289990658"/>
    <n v="-1.8325679661154155"/>
    <n v="3.6278249485013525"/>
    <n v="0.67449242340039273"/>
    <x v="0"/>
    <n v="3"/>
    <n v="0.97167599999999998"/>
    <n v="28.845541289395207"/>
    <n v="9.6151804297984018"/>
    <n v="0.64318458004520029"/>
    <n v="3.0104439289990657"/>
    <n v="411.44099999999986"/>
    <n v="2.6240457319518483E-2"/>
    <n v="1.9865681028791299E-3"/>
    <n v="524.80914639036962"/>
    <n v="855.2"/>
    <n v="5434.6991599999992"/>
    <n v="1.9865681028791299E-3"/>
    <n v="1630.4347826086957"/>
    <n v="1380.0091463903696"/>
    <s v="Luisa"/>
    <s v="Emerson"/>
    <x v="1"/>
  </r>
  <r>
    <x v="37"/>
    <x v="3"/>
    <x v="40"/>
    <n v="0.52989062405580156"/>
    <n v="69.503399999999999"/>
    <n v="0"/>
    <n v="69.503399999999999"/>
    <n v="65.818036712859936"/>
    <n v="36.8292"/>
    <n v="14.130434782608695"/>
    <n v="7.5605449302512335"/>
    <n v="7.2978570000000005"/>
    <n v="0.05"/>
    <n v="0.02"/>
    <n v="3.5000000000000003E-2"/>
    <n v="3.6853632871400634"/>
    <n v="5.3024215896489431E-2"/>
    <n v="0"/>
    <n v="0"/>
    <x v="0"/>
    <n v="26"/>
    <n v="3.4751700000000003"/>
    <n v="59.409539009414736"/>
    <n v="2.2849822695928745"/>
    <n v="0.63489062405580154"/>
    <n v="21.690979712859928"/>
    <n v="3099.8139599999995"/>
    <n v="2.2421797210049346E-2"/>
    <n v="1.2788821966734219E-2"/>
    <n v="560.54493025123361"/>
    <n v="7000"/>
    <n v="5434.6991599999992"/>
    <n v="1.2788821966734219E-2"/>
    <n v="14130.434782608696"/>
    <n v="7560.5449302512334"/>
    <s v="Luiz"/>
    <s v="Luiz"/>
    <x v="1"/>
  </r>
  <r>
    <x v="39"/>
    <x v="1"/>
    <x v="42"/>
    <n v="0.45817321339812567"/>
    <n v="29.938039999999916"/>
    <n v="19.656350000000003"/>
    <n v="10.281689999999912"/>
    <n v="35.444655530068317"/>
    <n v="13.716807989641584"/>
    <n v="8.1521739130434785"/>
    <n v="8.9352774273832658"/>
    <n v="4.6403961999999881"/>
    <n v="0.1"/>
    <n v="0.02"/>
    <n v="3.5000000000000003E-2"/>
    <n v="-25.162965530068405"/>
    <n v="-2.4473569549430705"/>
    <n v="9.0060130431782497"/>
    <n v="0.65656769781856328"/>
    <x v="0"/>
    <n v="15"/>
    <n v="2.9938039999999919"/>
    <n v="94.987737698330108"/>
    <n v="6.3325158465553404"/>
    <n v="0.61317321339812569"/>
    <n v="17.087451340426746"/>
    <n v="411.44099999999986"/>
    <n v="7.2763871369163319E-2"/>
    <n v="5.5086839434181157E-3"/>
    <n v="1455.2774273832663"/>
    <n v="7480"/>
    <n v="5434.6991599999992"/>
    <n v="5.5086839434181157E-3"/>
    <n v="8152.1739130434789"/>
    <n v="8935.2774273832656"/>
    <s v="Luisa"/>
    <s v="Emerson"/>
    <x v="1"/>
  </r>
  <r>
    <x v="40"/>
    <x v="3"/>
    <x v="43"/>
    <n v="0.48349801156164141"/>
    <n v="43.903799999999997"/>
    <n v="0"/>
    <n v="43.903799999999997"/>
    <n v="27.393741935452489"/>
    <n v="21.227399999999989"/>
    <n v="1.6304347826086958"/>
    <n v="0.80408415284380486"/>
    <n v="3.7318229999999999"/>
    <n v="0.03"/>
    <n v="0.02"/>
    <n v="3.5000000000000003E-2"/>
    <n v="16.510058064547508"/>
    <n v="0.37605077611841137"/>
    <n v="0"/>
    <n v="0"/>
    <x v="0"/>
    <n v="3"/>
    <n v="1.3171139999999999"/>
    <n v="5.6419645811209955"/>
    <n v="1.8806548603736652"/>
    <n v="0.56849801156164137"/>
    <n v="2.4345189354525005"/>
    <n v="3099.8139599999995"/>
    <n v="1.4163366113752195E-2"/>
    <n v="8.078423240634354E-3"/>
    <n v="354.08415284380487"/>
    <n v="450"/>
    <n v="5434.6991599999992"/>
    <n v="8.078423240634354E-3"/>
    <n v="1630.4347826086957"/>
    <n v="804.08415284380487"/>
    <s v="Luiz"/>
    <s v="Luiz"/>
    <x v="1"/>
  </r>
  <r>
    <x v="40"/>
    <x v="3"/>
    <x v="44"/>
    <n v="0"/>
    <n v="0"/>
    <n v="0"/>
    <n v="0"/>
    <n v="0.69347826086956532"/>
    <n v="0"/>
    <n v="0.5434782608695653"/>
    <n v="0.15"/>
    <n v="0"/>
    <n v="0.03"/>
    <n v="0.02"/>
    <n v="3.5000000000000003E-2"/>
    <n v="-0.69347826086956532"/>
    <n v="0"/>
    <n v="0"/>
    <n v="0"/>
    <x v="0"/>
    <n v="1"/>
    <n v="0"/>
    <n v="0.75789973865526261"/>
    <n v="0.75789973865526261"/>
    <n v="8.5000000000000006E-2"/>
    <n v="0.69347826086956532"/>
    <n v="3099.8139599999995"/>
    <n v="0"/>
    <n v="0"/>
    <n v="0"/>
    <n v="150"/>
    <n v="5434.6991599999992"/>
    <n v="0"/>
    <n v="543.47826086956525"/>
    <n v="150"/>
    <s v="Luiz"/>
    <s v="Luiz"/>
    <x v="1"/>
  </r>
  <r>
    <x v="40"/>
    <x v="3"/>
    <x v="45"/>
    <n v="0.45844564201905763"/>
    <n v="69.317880000000002"/>
    <n v="0"/>
    <n v="69.317880000000002"/>
    <n v="41.003461554904796"/>
    <n v="31.778479999999995"/>
    <n v="2.1739130434782612"/>
    <n v="1.1590487114265402"/>
    <n v="5.8920198000000008"/>
    <n v="0.03"/>
    <n v="0.02"/>
    <n v="3.5000000000000003E-2"/>
    <n v="28.314418445095207"/>
    <n v="0.40847207740766461"/>
    <n v="0"/>
    <n v="0"/>
    <x v="0"/>
    <n v="4"/>
    <n v="2.0795363999999998"/>
    <n v="7.3002517589459242"/>
    <n v="1.825062939736481"/>
    <n v="0.54344564201905765"/>
    <n v="3.3329617549048014"/>
    <n v="3099.8139599999995"/>
    <n v="2.2361948457061603E-2"/>
    <n v="1.2754685762587824E-2"/>
    <n v="559.04871142654008"/>
    <n v="600"/>
    <n v="5434.6991599999992"/>
    <n v="1.2754685762587824E-2"/>
    <n v="2173.913043478261"/>
    <n v="1159.0487114265402"/>
    <s v="Luiz"/>
    <s v="Luiz"/>
    <x v="1"/>
  </r>
  <r>
    <x v="41"/>
    <x v="3"/>
    <x v="46"/>
    <n v="0.4718172724241414"/>
    <n v="599.79999999999995"/>
    <n v="0"/>
    <n v="599.79999999999995"/>
    <n v="369.22543055809706"/>
    <n v="282.99599999999998"/>
    <n v="11.413043478260869"/>
    <n v="11.837387079836237"/>
    <n v="62.978999999999999"/>
    <n v="0.05"/>
    <n v="0.02"/>
    <n v="3.5000000000000003E-2"/>
    <n v="230.5745694419029"/>
    <n v="0.38441908876609354"/>
    <n v="0"/>
    <n v="0"/>
    <x v="0"/>
    <n v="21"/>
    <n v="29.99"/>
    <n v="54.941823101533124"/>
    <n v="2.6162772905491964"/>
    <n v="0.57681727242414138"/>
    <n v="23.250430558097108"/>
    <n v="3099.8139599999995"/>
    <n v="0.19349548319344947"/>
    <n v="0.11036489460439611"/>
    <n v="4837.3870798362368"/>
    <n v="7000"/>
    <n v="5434.6991599999992"/>
    <n v="0.11036489460439611"/>
    <n v="11413.04347826087"/>
    <n v="11837.387079836237"/>
    <s v="Luiz"/>
    <s v="Luiz"/>
    <x v="1"/>
  </r>
  <r>
    <x v="42"/>
    <x v="1"/>
    <x v="47"/>
    <n v="0.57168942073142182"/>
    <n v="96.706439999999915"/>
    <n v="1.4073600000000002"/>
    <n v="95.299079999999918"/>
    <n v="77.098380611460044"/>
    <n v="55.286048664597949"/>
    <n v="7.608695652173914"/>
    <n v="7.4341854946881796"/>
    <n v="6.7694507999999951"/>
    <n v="1.4999999999999999E-2"/>
    <n v="0.02"/>
    <n v="3.5000000000000003E-2"/>
    <n v="18.200699388539874"/>
    <n v="0.19098504821389556"/>
    <n v="0.80457282316057388"/>
    <n v="1.4552908782496815E-2"/>
    <x v="0"/>
    <n v="14"/>
    <n v="1.4505965999999986"/>
    <n v="45.910565019994905"/>
    <n v="3.279326072856779"/>
    <n v="0.64168942073142188"/>
    <n v="15.042881146862094"/>
    <n v="411.44099999999986"/>
    <n v="0.23504327473440895"/>
    <n v="1.7794258183004914E-2"/>
    <n v="4700.8654946881788"/>
    <n v="2733.32"/>
    <n v="5434.6991599999992"/>
    <n v="1.7794258183004914E-2"/>
    <n v="7608.6956521739139"/>
    <n v="7434.1854946881795"/>
    <s v="Luisa"/>
    <s v="Luisa"/>
    <x v="1"/>
  </r>
  <r>
    <x v="42"/>
    <x v="1"/>
    <x v="48"/>
    <n v="0.5765035813732462"/>
    <n v="217.00056000000006"/>
    <n v="0"/>
    <n v="217.00056000000006"/>
    <n v="186.81710671226313"/>
    <n v="125.10160000000003"/>
    <n v="28.804347826086961"/>
    <n v="17.721119686176152"/>
    <n v="15.190039200000006"/>
    <n v="1.4999999999999999E-2"/>
    <n v="0.02"/>
    <n v="3.5000000000000003E-2"/>
    <n v="30.183453287736938"/>
    <n v="0.13909389583020859"/>
    <n v="0"/>
    <n v="0"/>
    <x v="0"/>
    <n v="53"/>
    <n v="3.2550084000000008"/>
    <n v="131.61510289977778"/>
    <n v="2.4833038282976938"/>
    <n v="0.64650358137324626"/>
    <n v="46.525467512263113"/>
    <n v="411.44099999999986"/>
    <n v="0.52741598430880765"/>
    <n v="3.9928716127867525E-2"/>
    <n v="10548.319686176153"/>
    <n v="7172.7999999999984"/>
    <n v="5434.6991599999992"/>
    <n v="3.9928716127867525E-2"/>
    <n v="28804.34782608696"/>
    <n v="17721.119686176153"/>
    <s v="Luisa"/>
    <s v="Emerson"/>
    <x v="1"/>
  </r>
  <r>
    <x v="43"/>
    <x v="3"/>
    <x v="49"/>
    <n v="0.48242317934176043"/>
    <n v="214.12859999999978"/>
    <n v="15"/>
    <n v="199.12859999999978"/>
    <n v="126.52201149184933"/>
    <n v="103.30059999999997"/>
    <n v="2.7173913043478262"/>
    <n v="8.7269471875015352"/>
    <n v="11.777072999999989"/>
    <n v="0"/>
    <n v="0.02"/>
    <n v="3.5000000000000003E-2"/>
    <n v="72.606588508150452"/>
    <n v="0.36462159884692874"/>
    <n v="7.2363476901264061"/>
    <n v="7.0051361658367992E-2"/>
    <x v="0"/>
    <n v="5"/>
    <n v="0"/>
    <n v="57.16745264974471"/>
    <n v="11.433490529948942"/>
    <n v="0.53742317934176043"/>
    <n v="11.444338491849361"/>
    <n v="3099.8139599999995"/>
    <n v="6.90778875000614E-2"/>
    <n v="3.9400267373769372E-2"/>
    <n v="1726.9471875015349"/>
    <n v="7000"/>
    <n v="5434.6991599999992"/>
    <n v="3.9400267373769372E-2"/>
    <n v="2717.391304347826"/>
    <n v="8726.9471875015352"/>
    <s v="Luiz"/>
    <s v="Luiz"/>
    <x v="1"/>
  </r>
  <r>
    <x v="44"/>
    <x v="3"/>
    <x v="50"/>
    <n v="0.48052256442074381"/>
    <n v="358.96512000000013"/>
    <n v="65.372489999999999"/>
    <n v="293.5926300000001"/>
    <n v="229.05602348765828"/>
    <n v="172.49084000000011"/>
    <n v="17.934782608695652"/>
    <n v="8.11836567896251"/>
    <n v="30.512035200000014"/>
    <n v="0.03"/>
    <n v="0.02"/>
    <n v="3.5000000000000003E-2"/>
    <n v="64.53660651234182"/>
    <n v="0.21981684796495674"/>
    <n v="31.412956537369432"/>
    <n v="0.18211376637373564"/>
    <x v="0"/>
    <n v="33"/>
    <n v="10.768953600000003"/>
    <n v="210.42666615302403"/>
    <n v="6.3765656410007283"/>
    <n v="0.56552256442074378"/>
    <n v="26.053148287658161"/>
    <n v="3099.8139599999995"/>
    <n v="0.11580214962319874"/>
    <n v="6.6050596257843305E-2"/>
    <n v="2895.0537405799682"/>
    <n v="5223.3119383825415"/>
    <n v="5434.6991599999992"/>
    <n v="6.6050596257843305E-2"/>
    <n v="17934.782608695652"/>
    <n v="8118.3656789625093"/>
    <s v="Luiz"/>
    <s v="Luiz"/>
    <x v="1"/>
  </r>
  <r>
    <x v="45"/>
    <x v="3"/>
    <x v="51"/>
    <n v="0.52905348587073431"/>
    <n v="204.54000000000013"/>
    <n v="64.51391000000001"/>
    <n v="140.02609000000012"/>
    <n v="141.85681077939924"/>
    <n v="108.21260000000007"/>
    <n v="7.608695652173914"/>
    <n v="8.6496151272252497"/>
    <n v="17.385900000000014"/>
    <n v="0.03"/>
    <n v="0.02"/>
    <n v="3.5000000000000003E-2"/>
    <n v="-1.8307207793991154"/>
    <n v="-1.307414053623231E-2"/>
    <n v="34.131308972650828"/>
    <n v="0.31540974870440974"/>
    <x v="0"/>
    <n v="14"/>
    <n v="6.1362000000000041"/>
    <n v="209.28345722108529"/>
    <n v="14.948818372934664"/>
    <n v="0.61405348587073427"/>
    <n v="16.258310779399164"/>
    <n v="3099.8139599999995"/>
    <n v="6.5984605089009982E-2"/>
    <n v="3.7635937883266413E-2"/>
    <n v="1649.6151272252496"/>
    <n v="7000"/>
    <n v="5434.6991599999992"/>
    <n v="3.7635937883266413E-2"/>
    <n v="7608.6956521739139"/>
    <n v="8649.61512722525"/>
    <s v="Luiz"/>
    <s v="Luiz"/>
    <x v="1"/>
  </r>
  <r>
    <x v="46"/>
    <x v="1"/>
    <x v="52"/>
    <n v="0.54556480169971666"/>
    <n v="11.295999999999998"/>
    <n v="0"/>
    <n v="11.295999999999998"/>
    <n v="10.189631045619832"/>
    <n v="6.1626999999999983"/>
    <n v="1.0869565217391306"/>
    <n v="1.189094523880702"/>
    <n v="1.75088"/>
    <n v="0.1"/>
    <n v="0.02"/>
    <n v="3.5000000000000003E-2"/>
    <n v="1.1063689543801658"/>
    <n v="9.7943427264533117E-2"/>
    <n v="0"/>
    <n v="0"/>
    <x v="0"/>
    <n v="2"/>
    <n v="1.1295999999999997"/>
    <n v="7.6011472884271107"/>
    <n v="3.8005736442135554"/>
    <n v="0.70056480169971669"/>
    <n v="2.2760510456198326"/>
    <n v="411.44099999999986"/>
    <n v="2.7454726194035113E-2"/>
    <n v="2.0784959143902272E-3"/>
    <n v="549.09452388070224"/>
    <n v="640"/>
    <n v="5434.6991599999992"/>
    <n v="2.0784959143902272E-3"/>
    <n v="1086.9565217391305"/>
    <n v="1189.0945238807021"/>
    <s v="Luisa"/>
    <s v="Emerson"/>
    <x v="1"/>
  </r>
  <r>
    <x v="47"/>
    <x v="3"/>
    <x v="53"/>
    <n v="0.47036240807524693"/>
    <n v="605.77659999999969"/>
    <n v="92.934979999999996"/>
    <n v="512.84161999999969"/>
    <n v="369.50679186518028"/>
    <n v="284.9345403316355"/>
    <n v="21.195652173913043"/>
    <n v="11.885588359631747"/>
    <n v="51.491010999999979"/>
    <n v="0.03"/>
    <n v="0.02"/>
    <n v="3.5000000000000003E-2"/>
    <n v="143.33482813481942"/>
    <n v="0.27949141127590132"/>
    <n v="43.713120987224912"/>
    <n v="0.15341460861974537"/>
    <x v="0"/>
    <n v="39"/>
    <n v="18.173297999999988"/>
    <n v="283.41332991671737"/>
    <n v="7.2670084594030095"/>
    <n v="0.55536240807524695"/>
    <n v="33.081240533544786"/>
    <n v="3099.8139599999995"/>
    <n v="0.19542353438526994"/>
    <n v="0.11146460588997897"/>
    <n v="4885.5883596317481"/>
    <n v="6999.9999999999991"/>
    <n v="5434.6991599999992"/>
    <n v="0.11146460588997897"/>
    <n v="21195.652173913044"/>
    <n v="11885.588359631747"/>
    <s v="Luiz"/>
    <s v="Luiz"/>
    <x v="1"/>
  </r>
  <r>
    <x v="48"/>
    <x v="0"/>
    <x v="54"/>
    <n v="0"/>
    <n v="0"/>
    <n v="0"/>
    <n v="0"/>
    <n v="0"/>
    <n v="0"/>
    <n v="0"/>
    <n v="0"/>
    <n v="0"/>
    <n v="0"/>
    <n v="0.02"/>
    <n v="3.5000000000000003E-2"/>
    <n v="0"/>
    <n v="0"/>
    <n v="0"/>
    <n v="0"/>
    <x v="0"/>
    <n v="0"/>
    <n v="0"/>
    <n v="0"/>
    <n v="0"/>
    <n v="5.5000000000000007E-2"/>
    <n v="0"/>
    <n v="149.25999999999996"/>
    <n v="0"/>
    <n v="0"/>
    <n v="0"/>
    <n v="0"/>
    <n v="5434.6991599999992"/>
    <n v="0"/>
    <n v="0"/>
    <n v="0"/>
    <s v="Luisa"/>
    <s v="Luisa"/>
    <x v="1"/>
  </r>
  <r>
    <x v="49"/>
    <x v="0"/>
    <x v="55"/>
    <n v="0.46452145214521462"/>
    <n v="0"/>
    <n v="0"/>
    <n v="0"/>
    <n v="1.0869565217391306"/>
    <n v="0"/>
    <n v="1.0869565217391306"/>
    <n v="0"/>
    <n v="0"/>
    <n v="0"/>
    <n v="0.02"/>
    <n v="3.5000000000000003E-2"/>
    <n v="-1.0869565217391306"/>
    <n v="0"/>
    <n v="0"/>
    <n v="0"/>
    <x v="0"/>
    <n v="2"/>
    <n v="0"/>
    <n v="2.2622373602153836"/>
    <n v="1.1311186801076918"/>
    <n v="0.51952145214521461"/>
    <n v="1.0869565217391306"/>
    <n v="149.25999999999996"/>
    <n v="0"/>
    <n v="0"/>
    <n v="0"/>
    <n v="0"/>
    <n v="5434.6991599999992"/>
    <n v="0"/>
    <n v="1086.9565217391305"/>
    <n v="0"/>
    <s v="Luisa"/>
    <s v="Luisa"/>
    <x v="1"/>
  </r>
  <r>
    <x v="50"/>
    <x v="0"/>
    <x v="56"/>
    <n v="0.48262048345411235"/>
    <n v="0"/>
    <n v="0"/>
    <n v="0"/>
    <n v="0.5434782608695653"/>
    <n v="0"/>
    <n v="0.5434782608695653"/>
    <n v="0"/>
    <n v="0"/>
    <n v="0"/>
    <n v="0.02"/>
    <n v="3.5000000000000003E-2"/>
    <n v="-0.5434782608695653"/>
    <n v="0"/>
    <n v="0"/>
    <n v="0"/>
    <x v="0"/>
    <n v="1"/>
    <n v="0"/>
    <n v="1.1753943274336836"/>
    <n v="1.1753943274336836"/>
    <n v="0.5376204834541124"/>
    <n v="0.5434782608695653"/>
    <n v="149.25999999999996"/>
    <n v="0"/>
    <n v="0"/>
    <n v="0"/>
    <n v="0"/>
    <n v="5434.6991599999992"/>
    <n v="0"/>
    <n v="543.47826086956525"/>
    <n v="0"/>
    <s v="Luisa"/>
    <s v="Luisa"/>
    <x v="1"/>
  </r>
  <r>
    <x v="49"/>
    <x v="0"/>
    <x v="57"/>
    <n v="0.4633883065144333"/>
    <n v="0"/>
    <n v="0"/>
    <n v="0"/>
    <n v="0"/>
    <n v="0"/>
    <n v="0"/>
    <n v="0"/>
    <n v="0"/>
    <n v="0"/>
    <n v="0.02"/>
    <n v="3.5000000000000003E-2"/>
    <n v="0"/>
    <n v="0"/>
    <n v="0"/>
    <n v="0"/>
    <x v="0"/>
    <n v="0"/>
    <n v="0"/>
    <n v="0"/>
    <n v="0"/>
    <n v="0.51838830651443335"/>
    <n v="0"/>
    <n v="149.25999999999996"/>
    <n v="0"/>
    <n v="0"/>
    <n v="0"/>
    <n v="0"/>
    <n v="5434.6991599999992"/>
    <n v="0"/>
    <n v="0"/>
    <n v="0"/>
    <s v="Luisa"/>
    <s v="Luisa"/>
    <x v="1"/>
  </r>
  <r>
    <x v="51"/>
    <x v="0"/>
    <x v="58"/>
    <n v="0"/>
    <n v="0"/>
    <n v="0"/>
    <n v="0"/>
    <n v="0.5434782608695653"/>
    <n v="0"/>
    <n v="0.5434782608695653"/>
    <n v="0"/>
    <n v="0"/>
    <n v="0"/>
    <n v="0.02"/>
    <n v="3.5000000000000003E-2"/>
    <n v="-0.5434782608695653"/>
    <n v="0"/>
    <n v="0"/>
    <n v="0"/>
    <x v="0"/>
    <n v="1"/>
    <n v="0"/>
    <n v="0.5751092707614448"/>
    <n v="0.5751092707614448"/>
    <n v="5.5000000000000007E-2"/>
    <n v="0.5434782608695653"/>
    <n v="149.25999999999996"/>
    <n v="0"/>
    <n v="0"/>
    <n v="0"/>
    <n v="0"/>
    <n v="5434.6991599999992"/>
    <n v="0"/>
    <n v="543.47826086956525"/>
    <n v="0"/>
    <s v="Luisa"/>
    <s v="Luisa"/>
    <x v="1"/>
  </r>
  <r>
    <x v="52"/>
    <x v="3"/>
    <x v="59"/>
    <n v="0.48979707792207794"/>
    <n v="123.20000000000002"/>
    <n v="0"/>
    <n v="123.20000000000002"/>
    <n v="71.808608016398523"/>
    <n v="60.343000000000011"/>
    <n v="0"/>
    <n v="0.99360801639850704"/>
    <n v="10.472000000000003"/>
    <n v="0.03"/>
    <n v="0.02"/>
    <n v="3.5000000000000003E-2"/>
    <n v="51.391391983601494"/>
    <n v="0.41713792194481725"/>
    <n v="0"/>
    <n v="0"/>
    <x v="0"/>
    <n v="0"/>
    <n v="3.6960000000000002"/>
    <n v="2.3367854847818279"/>
    <n v="2.3367854847818279"/>
    <n v="0.5747970779220779"/>
    <n v="0.99360801639850704"/>
    <n v="3099.8139599999995"/>
    <n v="3.9744320655940281E-2"/>
    <n v="2.2669148074794268E-2"/>
    <n v="993.60801639850706"/>
    <n v="0"/>
    <n v="5434.6991599999992"/>
    <n v="2.2669148074794268E-2"/>
    <n v="0"/>
    <n v="993.60801639850706"/>
    <s v="Luiz"/>
    <s v="Luiz"/>
    <x v="1"/>
  </r>
  <r>
    <x v="54"/>
    <x v="1"/>
    <x v="61"/>
    <n v="0"/>
    <n v="0"/>
    <n v="0"/>
    <n v="0"/>
    <n v="1.3821565217391305"/>
    <n v="0"/>
    <n v="1.0869565217391306"/>
    <n v="0.29519999999999996"/>
    <n v="0"/>
    <n v="0.08"/>
    <n v="0.02"/>
    <n v="3.5000000000000003E-2"/>
    <n v="-1.3821565217391305"/>
    <n v="0"/>
    <n v="0"/>
    <n v="0"/>
    <x v="0"/>
    <n v="2"/>
    <n v="0"/>
    <n v="1.5978688112591104"/>
    <n v="0.7989344056295552"/>
    <n v="0.13500000000000001"/>
    <n v="1.3821565217391305"/>
    <n v="411.44099999999986"/>
    <n v="0"/>
    <n v="0"/>
    <n v="0"/>
    <n v="295.2"/>
    <n v="5434.6991599999992"/>
    <n v="0"/>
    <n v="1086.9565217391305"/>
    <n v="295.2"/>
    <s v="Luisa"/>
    <s v="Emerson"/>
    <x v="1"/>
  </r>
  <r>
    <x v="42"/>
    <x v="1"/>
    <x v="47"/>
    <n v="0.60840030320803706"/>
    <n v="46.647840000000009"/>
    <n v="0"/>
    <n v="46.647840000000009"/>
    <n v="44.348401625419349"/>
    <n v="28.380560000000006"/>
    <n v="7.1725032425421533"/>
    <n v="5.1894603508771935"/>
    <n v="3.605878032000001"/>
    <n v="1.4999999999999999E-2"/>
    <n v="2.5899999999999999E-2"/>
    <n v="3.6400000000000002E-2"/>
    <n v="2.2994383745806601"/>
    <n v="4.9293565888166732E-2"/>
    <n v="0"/>
    <n v="0"/>
    <x v="0"/>
    <n v="14"/>
    <n v="0.69971760000000016"/>
    <n v="39.331770662196391"/>
    <n v="2.8094121901568849"/>
    <n v="0.6857003032080371"/>
    <n v="12.361963593419347"/>
    <n v="476.06442000000015"/>
    <n v="9.7986402764567021E-2"/>
    <n v="7.1538378010043034E-3"/>
    <n v="2456.1403508771932"/>
    <n v="2733.32"/>
    <n v="6520.6734200000001"/>
    <n v="7.1538378010043034E-3"/>
    <n v="7172.5032425421532"/>
    <n v="5189.4603508771934"/>
    <s v="Emerson"/>
    <s v="Emerson"/>
    <x v="2"/>
  </r>
  <r>
    <x v="31"/>
    <x v="1"/>
    <x v="33"/>
    <n v="0.49746726393004836"/>
    <n v="40.000219999999992"/>
    <n v="18.857320000000001"/>
    <n v="21.14289999999999"/>
    <n v="41.455234239456203"/>
    <n v="19.898799999999994"/>
    <n v="10.246433203631648"/>
    <n v="6.0179719298245606"/>
    <n v="5.2920291060000002"/>
    <n v="7.0000000000000007E-2"/>
    <n v="2.5899999999999999E-2"/>
    <n v="3.6400000000000002E-2"/>
    <n v="-20.312334239456213"/>
    <n v="-0.96071656392719174"/>
    <n v="9.3808993854533806"/>
    <n v="0.47143040713276091"/>
    <x v="0"/>
    <n v="20"/>
    <n v="2.8000153999999995"/>
    <n v="94.86391048580947"/>
    <n v="4.7431955242904733"/>
    <n v="0.62976726393004845"/>
    <n v="16.264405133456208"/>
    <n v="476.06442000000015"/>
    <n v="8.4022704322242736E-2"/>
    <n v="6.1343694774396466E-3"/>
    <n v="3508.7719298245615"/>
    <n v="2509.1999999999994"/>
    <n v="6520.6734200000001"/>
    <n v="6.1343694774396466E-3"/>
    <n v="10246.433203631648"/>
    <n v="6017.9719298245609"/>
    <s v="Emerson"/>
    <s v="Emerson"/>
    <x v="2"/>
  </r>
  <r>
    <x v="4"/>
    <x v="1"/>
    <x v="4"/>
    <n v="0.49243066025318866"/>
    <n v="8.3573999999999984"/>
    <n v="0"/>
    <n v="8.3573999999999984"/>
    <n v="5.323866276672808"/>
    <n v="4.1154399999999978"/>
    <n v="0.51232166018158243"/>
    <n v="0.17543859649122809"/>
    <n v="0.52066601999999995"/>
    <n v="0"/>
    <n v="2.5899999999999999E-2"/>
    <n v="3.6400000000000002E-2"/>
    <n v="3.0335337233271904"/>
    <n v="0.36297577276751036"/>
    <n v="0"/>
    <n v="0"/>
    <x v="0"/>
    <n v="1"/>
    <n v="0"/>
    <n v="1.5445937891521659"/>
    <n v="1.5445937891521659"/>
    <n v="0.55473066025318862"/>
    <n v="0.68776025667281049"/>
    <n v="476.06442000000015"/>
    <n v="1.7555187174038329E-2"/>
    <n v="1.281677437542946E-3"/>
    <n v="175.43859649122808"/>
    <n v="0"/>
    <n v="6520.6734200000001"/>
    <n v="1.281677437542946E-3"/>
    <n v="512.32166018158239"/>
    <n v="175.43859649122808"/>
    <s v="Emerson"/>
    <s v="Emerson"/>
    <x v="2"/>
  </r>
  <r>
    <x v="54"/>
    <x v="1"/>
    <x v="61"/>
    <n v="0"/>
    <n v="0"/>
    <n v="0"/>
    <n v="0"/>
    <n v="1.6707205133456209"/>
    <n v="0"/>
    <n v="1.0246433203631649"/>
    <n v="0.64607719298245614"/>
    <n v="0"/>
    <n v="0.08"/>
    <n v="2.5899999999999999E-2"/>
    <n v="3.6400000000000002E-2"/>
    <n v="-1.6707205133456209"/>
    <n v="0"/>
    <n v="0"/>
    <n v="0"/>
    <x v="0"/>
    <n v="2"/>
    <n v="0"/>
    <n v="1.9479077921716461"/>
    <n v="0.97395389608582306"/>
    <n v="0.14229999999999998"/>
    <n v="1.6707205133456209"/>
    <n v="476.06442000000015"/>
    <n v="0"/>
    <n v="0"/>
    <n v="350.87719298245617"/>
    <n v="295.2"/>
    <n v="6520.6734200000001"/>
    <n v="0"/>
    <n v="1024.6433203631648"/>
    <n v="646.07719298245615"/>
    <s v="Emerson"/>
    <s v="Emerson"/>
    <x v="2"/>
  </r>
  <r>
    <x v="36"/>
    <x v="1"/>
    <x v="39"/>
    <n v="0.49970360490533899"/>
    <n v="10.7964"/>
    <n v="0"/>
    <n v="10.7964"/>
    <n v="9.9577724900184332"/>
    <n v="5.3950000000000022"/>
    <n v="1.536964980544747"/>
    <n v="1.3815157894736845"/>
    <n v="1.64429172"/>
    <n v="0.09"/>
    <n v="2.5899999999999999E-2"/>
    <n v="3.6400000000000002E-2"/>
    <n v="0.83862750998156699"/>
    <n v="7.7676587564518451E-2"/>
    <n v="0"/>
    <n v="0"/>
    <x v="0"/>
    <n v="3"/>
    <n v="0.97167599999999998"/>
    <n v="8.3865258696848137"/>
    <n v="2.7955086232282711"/>
    <n v="0.65200360490533904"/>
    <n v="2.9184807700184314"/>
    <n v="476.06442000000015"/>
    <n v="2.2678443392177883E-2"/>
    <n v="1.6557185592036598E-3"/>
    <n v="526.31578947368428"/>
    <n v="855.2"/>
    <n v="6520.6734200000001"/>
    <n v="1.6557185592036598E-3"/>
    <n v="1536.964980544747"/>
    <n v="1381.5157894736844"/>
    <s v="Emerson"/>
    <s v="Emerson"/>
    <x v="2"/>
  </r>
  <r>
    <x v="10"/>
    <x v="1"/>
    <x v="11"/>
    <n v="0"/>
    <n v="0"/>
    <n v="0"/>
    <n v="0"/>
    <n v="1.375520513345621"/>
    <n v="0"/>
    <n v="1.0246433203631649"/>
    <n v="0.35087719298245618"/>
    <n v="0"/>
    <n v="0"/>
    <n v="2.5899999999999999E-2"/>
    <n v="3.6400000000000002E-2"/>
    <n v="-1.375520513345621"/>
    <n v="0"/>
    <n v="0"/>
    <n v="0"/>
    <x v="0"/>
    <n v="2"/>
    <n v="0"/>
    <n v="1.4669089403280591"/>
    <n v="0.73345447016402954"/>
    <n v="6.2300000000000001E-2"/>
    <n v="1.375520513345621"/>
    <n v="476.06442000000015"/>
    <n v="0"/>
    <n v="0"/>
    <n v="350.87719298245617"/>
    <n v="0"/>
    <n v="6520.6734200000001"/>
    <n v="0"/>
    <n v="1024.6433203631648"/>
    <n v="350.87719298245617"/>
    <s v="Emerson"/>
    <s v="Emerson"/>
    <x v="2"/>
  </r>
  <r>
    <x v="39"/>
    <x v="1"/>
    <x v="42"/>
    <n v="0.48530477590509724"/>
    <n v="23.400799999999993"/>
    <n v="0"/>
    <n v="23.400799999999993"/>
    <n v="32.950873690092152"/>
    <n v="11.356519999999996"/>
    <n v="7.6848249027237365"/>
    <n v="10.111578947368422"/>
    <n v="3.7979498399999989"/>
    <n v="0.1"/>
    <n v="2.5899999999999999E-2"/>
    <n v="3.6400000000000002E-2"/>
    <n v="-9.5500736900921588"/>
    <n v="-0.40810885482941445"/>
    <n v="0"/>
    <n v="0"/>
    <x v="0"/>
    <n v="15"/>
    <n v="2.3400799999999995"/>
    <n v="50.5012628811889"/>
    <n v="3.3667508587459265"/>
    <n v="0.64760477590509724"/>
    <n v="17.796403850092158"/>
    <n v="476.06442000000015"/>
    <n v="4.9154692131791716E-2"/>
    <n v="3.5887090937917255E-3"/>
    <n v="2631.5789473684213"/>
    <n v="7480"/>
    <n v="6520.6734200000001"/>
    <n v="3.5887090937917255E-3"/>
    <n v="7684.8249027237362"/>
    <n v="10111.578947368422"/>
    <s v="Emerson"/>
    <s v="Emerson"/>
    <x v="2"/>
  </r>
  <r>
    <x v="42"/>
    <x v="1"/>
    <x v="48"/>
    <n v="0.59301052246397934"/>
    <n v="326.18976000000009"/>
    <n v="0"/>
    <n v="326.18976000000009"/>
    <n v="262.27252205165905"/>
    <n v="193.43396000000007"/>
    <n v="27.153047989623865"/>
    <n v="16.471045614035088"/>
    <n v="25.214468448000009"/>
    <n v="1.4999999999999999E-2"/>
    <n v="2.5899999999999999E-2"/>
    <n v="3.6400000000000002E-2"/>
    <n v="63.91723794834104"/>
    <n v="0.19595108671817602"/>
    <n v="0"/>
    <n v="0"/>
    <x v="0"/>
    <n v="53"/>
    <n v="4.8928464000000016"/>
    <n v="132.31873194646542"/>
    <n v="2.4965798480465176"/>
    <n v="0.67031052246397937"/>
    <n v="43.624093603658949"/>
    <n v="476.06442000000015"/>
    <n v="0.68517987544626835"/>
    <n v="5.0023937558277547E-2"/>
    <n v="9298.2456140350878"/>
    <n v="7172.7999999999984"/>
    <n v="6520.6734200000001"/>
    <n v="5.0023937558277547E-2"/>
    <n v="27153.047989623865"/>
    <n v="16471.045614035087"/>
    <s v="Emerson"/>
    <s v="Emerson"/>
    <x v="2"/>
  </r>
  <r>
    <x v="17"/>
    <x v="1"/>
    <x v="18"/>
    <n v="0"/>
    <n v="0"/>
    <n v="0"/>
    <n v="0"/>
    <n v="1.6755205133456208"/>
    <n v="0"/>
    <n v="1.0246433203631649"/>
    <n v="0.65087719298245605"/>
    <n v="0"/>
    <n v="0"/>
    <n v="2.5899999999999999E-2"/>
    <n v="3.6400000000000002E-2"/>
    <n v="-1.6755205133456208"/>
    <n v="0"/>
    <n v="0"/>
    <n v="0"/>
    <x v="0"/>
    <n v="2"/>
    <n v="0"/>
    <n v="1.7868406882218415"/>
    <n v="0.89342034411092075"/>
    <n v="6.2300000000000001E-2"/>
    <n v="1.6755205133456208"/>
    <n v="476.06442000000015"/>
    <n v="0"/>
    <n v="0"/>
    <n v="350.87719298245617"/>
    <n v="300"/>
    <n v="6520.6734200000001"/>
    <n v="0"/>
    <n v="1024.6433203631648"/>
    <n v="650.87719298245611"/>
    <s v="Emerson"/>
    <s v="Emerson"/>
    <x v="2"/>
  </r>
  <r>
    <x v="46"/>
    <x v="1"/>
    <x v="52"/>
    <n v="0.58299148606811158"/>
    <n v="20.672000000000001"/>
    <n v="0"/>
    <n v="20.672000000000001"/>
    <n v="17.422186113345624"/>
    <n v="12.051600000000002"/>
    <n v="1.0246433203631649"/>
    <n v="0.99087719298245613"/>
    <n v="3.3550656000000001"/>
    <n v="0.1"/>
    <n v="2.5899999999999999E-2"/>
    <n v="3.6400000000000002E-2"/>
    <n v="3.2498138866543762"/>
    <n v="0.15720848909899265"/>
    <n v="0"/>
    <n v="0"/>
    <x v="0"/>
    <n v="2"/>
    <n v="2.0672000000000001"/>
    <n v="7.913047279937377"/>
    <n v="3.9565236399686885"/>
    <n v="0.74529148606811157"/>
    <n v="2.0155205133456211"/>
    <n v="476.06442000000015"/>
    <n v="4.3422694768913826E-2"/>
    <n v="3.1702247097049065E-3"/>
    <n v="350.87719298245617"/>
    <n v="640"/>
    <n v="6520.6734200000001"/>
    <n v="3.1702247097049065E-3"/>
    <n v="1024.6433203631648"/>
    <n v="990.87719298245611"/>
    <s v="Emerson"/>
    <s v="Emerson"/>
    <x v="2"/>
  </r>
  <r>
    <x v="21"/>
    <x v="2"/>
    <x v="22"/>
    <n v="0.46895128300037953"/>
    <n v="1001.7612000000004"/>
    <n v="157.22633000000002"/>
    <n v="844.53487000000041"/>
    <n v="654.39107459608522"/>
    <n v="469.77719999999999"/>
    <n v="17.931258106355383"/>
    <n v="34.149609729729725"/>
    <n v="132.53300676000009"/>
    <n v="7.0000000000000007E-2"/>
    <n v="2.5899999999999999E-2"/>
    <n v="3.6400000000000002E-2"/>
    <n v="190.14379540391519"/>
    <n v="0.22514617472682341"/>
    <n v="73.731489174941075"/>
    <n v="0.15694990981882703"/>
    <x v="0"/>
    <n v="35"/>
    <n v="70.123284000000027"/>
    <n v="524.91002205853965"/>
    <n v="14.997429201672562"/>
    <n v="0.60125128300037955"/>
    <n v="52.080867836085105"/>
    <n v="3566.4392600000001"/>
    <n v="0.28088553511493153"/>
    <n v="0.15362848826739745"/>
    <n v="4729.7297297297291"/>
    <n v="29419.879999999997"/>
    <n v="6520.6734200000001"/>
    <n v="0.15362848826739745"/>
    <n v="17931.258106355384"/>
    <n v="34149.609729729724"/>
    <s v="Leandro"/>
    <s v="Leandro"/>
    <x v="2"/>
  </r>
  <r>
    <x v="50"/>
    <x v="0"/>
    <x v="56"/>
    <n v="0"/>
    <n v="0"/>
    <n v="0"/>
    <n v="0"/>
    <n v="0.64219179005171223"/>
    <n v="0"/>
    <n v="0.51232166018158243"/>
    <n v="0.12987012987012986"/>
    <n v="0"/>
    <n v="0"/>
    <n v="2.5899999999999999E-2"/>
    <n v="3.6400000000000002E-2"/>
    <n v="-0.64219179005171223"/>
    <n v="0"/>
    <n v="0"/>
    <n v="0"/>
    <x v="0"/>
    <n v="1"/>
    <n v="0"/>
    <n v="0.68485847291427138"/>
    <n v="0.68485847291427138"/>
    <n v="6.2300000000000001E-2"/>
    <n v="0.64219179005171223"/>
    <n v="244.51567999999992"/>
    <n v="0"/>
    <n v="0"/>
    <n v="129.87012987012986"/>
    <n v="0"/>
    <n v="6520.6734200000001"/>
    <n v="0"/>
    <n v="512.32166018158239"/>
    <n v="129.87012987012986"/>
    <s v="Luisa"/>
    <s v="Luisa"/>
    <x v="2"/>
  </r>
  <r>
    <x v="25"/>
    <x v="2"/>
    <x v="26"/>
    <n v="0.60591779421079539"/>
    <n v="1048.296"/>
    <n v="0"/>
    <n v="1048.296"/>
    <n v="858.80106261266872"/>
    <n v="635.18119999999999"/>
    <n v="20.492866407263296"/>
    <n v="32.988555405405407"/>
    <n v="170.13844080000001"/>
    <n v="0.1"/>
    <n v="2.5899999999999999E-2"/>
    <n v="3.6400000000000002E-2"/>
    <n v="189.49493738733133"/>
    <n v="0.1807647242642644"/>
    <n v="0"/>
    <n v="0"/>
    <x v="0"/>
    <n v="40"/>
    <n v="104.82960000000001"/>
    <n v="230.73998122749606"/>
    <n v="5.7684995306874018"/>
    <n v="0.76821779421079539"/>
    <n v="53.4814218126687"/>
    <n v="3566.4392600000001"/>
    <n v="0.29393350722591588"/>
    <n v="0.16076499043560444"/>
    <n v="5405.405405405405"/>
    <n v="27583.15"/>
    <n v="6520.6734200000001"/>
    <n v="0.16076499043560444"/>
    <n v="20492.866407263296"/>
    <n v="32988.555405405408"/>
    <s v="Leandro"/>
    <s v="Leandro"/>
    <x v="2"/>
  </r>
  <r>
    <x v="19"/>
    <x v="2"/>
    <x v="20"/>
    <n v="0.48599347327833015"/>
    <n v="911.55718000000013"/>
    <n v="5.52982"/>
    <n v="906.02736000000016"/>
    <n v="635.06395995008518"/>
    <n v="443.01084000000003"/>
    <n v="17.931258106355383"/>
    <n v="17.060559729729729"/>
    <n v="157.06130211400003"/>
    <n v="0.11"/>
    <n v="2.5899999999999999E-2"/>
    <n v="3.6400000000000002E-2"/>
    <n v="270.96340004991498"/>
    <n v="0.29906756905212545"/>
    <n v="2.6874564284039755"/>
    <n v="6.0663446257973623E-3"/>
    <x v="0"/>
    <n v="35"/>
    <n v="100.27128980000002"/>
    <n v="118.58608094158876"/>
    <n v="3.3881737411882504"/>
    <n v="0.6582934732783301"/>
    <n v="34.991817836085112"/>
    <n v="3566.4392600000001"/>
    <n v="0.25559307576711682"/>
    <n v="0.13979494467612827"/>
    <n v="4729.7297297297291"/>
    <n v="12330.83"/>
    <n v="6520.6734200000001"/>
    <n v="0.13979494467612827"/>
    <n v="17931.258106355384"/>
    <n v="17060.559729729728"/>
    <s v="Leandro"/>
    <s v="Leandro"/>
    <x v="2"/>
  </r>
  <r>
    <x v="20"/>
    <x v="2"/>
    <x v="21"/>
    <n v="0.55074131111331404"/>
    <n v="214.86930000000001"/>
    <n v="0"/>
    <n v="214.86930000000001"/>
    <n v="164.89431138696781"/>
    <n v="118.33740000000002"/>
    <n v="11.271076523994813"/>
    <n v="7.9329729729729737"/>
    <n v="27.352861890000007"/>
    <n v="6.5000000000000002E-2"/>
    <n v="2.5899999999999999E-2"/>
    <n v="3.6400000000000002E-2"/>
    <n v="49.974988613032195"/>
    <n v="0.2325831964502709"/>
    <n v="0"/>
    <n v="0"/>
    <x v="0"/>
    <n v="22"/>
    <n v="13.966504500000001"/>
    <n v="59.647557776354027"/>
    <n v="2.7112526261979104"/>
    <n v="0.67804131111331412"/>
    <n v="19.204049496967787"/>
    <n v="3566.4392600000001"/>
    <n v="6.0247570289476908E-2"/>
    <n v="3.2952010652911985E-2"/>
    <n v="2972.9729729729729"/>
    <n v="4960"/>
    <n v="6520.6734200000001"/>
    <n v="3.2952010652911985E-2"/>
    <n v="11271.076523994812"/>
    <n v="7932.9729729729734"/>
    <s v="Leandro"/>
    <s v="Leandro"/>
    <x v="2"/>
  </r>
  <r>
    <x v="55"/>
    <x v="2"/>
    <x v="63"/>
    <n v="0"/>
    <n v="0"/>
    <n v="0"/>
    <n v="0"/>
    <n v="0"/>
    <n v="0"/>
    <n v="0"/>
    <n v="0"/>
    <n v="0"/>
    <n v="0"/>
    <n v="2.5899999999999999E-2"/>
    <n v="3.6400000000000002E-2"/>
    <n v="0"/>
    <n v="0"/>
    <n v="0"/>
    <n v="0"/>
    <x v="0"/>
    <n v="0"/>
    <n v="0"/>
    <n v="0"/>
    <n v="0"/>
    <n v="6.2300000000000001E-2"/>
    <n v="0"/>
    <n v="3566.4392600000001"/>
    <n v="0"/>
    <n v="0"/>
    <n v="0"/>
    <n v="0"/>
    <n v="6520.6734200000001"/>
    <n v="0"/>
    <n v="0"/>
    <n v="0"/>
    <s v="Leandro"/>
    <s v="Leandro"/>
    <x v="2"/>
  </r>
  <r>
    <x v="22"/>
    <x v="2"/>
    <x v="23"/>
    <n v="0.52856385797562278"/>
    <n v="128.31599999999997"/>
    <n v="21.3887"/>
    <n v="106.92729999999997"/>
    <n v="108.87214668291793"/>
    <n v="67.8232"/>
    <n v="12.80804150453956"/>
    <n v="8.6983783783783775"/>
    <n v="19.542526799999994"/>
    <n v="0.09"/>
    <n v="2.5899999999999999E-2"/>
    <n v="3.6400000000000002E-2"/>
    <n v="-1.9448466829179551"/>
    <n v="-1.8188495201112865E-2"/>
    <n v="11.305293789083203"/>
    <n v="0.16668770846971542"/>
    <x v="0"/>
    <n v="25"/>
    <n v="11.548439999999998"/>
    <n v="134.41009724195197"/>
    <n v="5.3764038896780786"/>
    <n v="0.68086385797562277"/>
    <n v="21.506419882917939"/>
    <n v="3566.4392600000001"/>
    <n v="3.5978742562406622E-2"/>
    <n v="1.9678335615832755E-2"/>
    <n v="3378.3783783783783"/>
    <n v="5320"/>
    <n v="6520.6734200000001"/>
    <n v="1.9678335615832755E-2"/>
    <n v="12808.04150453956"/>
    <n v="8698.3783783783783"/>
    <s v="Leandro"/>
    <s v="Leandro"/>
    <x v="2"/>
  </r>
  <r>
    <x v="23"/>
    <x v="2"/>
    <x v="24"/>
    <n v="0.5437514263242047"/>
    <n v="28.657579999999999"/>
    <n v="9.6873299999999993"/>
    <n v="18.97025"/>
    <n v="27.075414187167176"/>
    <n v="15.582600000000001"/>
    <n v="5.1232166018158241"/>
    <n v="3.1513513513513511"/>
    <n v="3.218246234"/>
    <n v="0.05"/>
    <n v="2.5899999999999999E-2"/>
    <n v="3.6400000000000002E-2"/>
    <n v="-8.1051641871671762"/>
    <n v="-0.42725658265796057"/>
    <n v="5.2674995047732578"/>
    <n v="0.33803726623113323"/>
    <x v="0"/>
    <n v="10"/>
    <n v="1.432879"/>
    <n v="52.222626659583106"/>
    <n v="5.2222626659583105"/>
    <n v="0.65605142632420466"/>
    <n v="8.2745679531671747"/>
    <n v="3566.4392600000001"/>
    <n v="8.0353478387852877E-3"/>
    <n v="4.394880429389761E-3"/>
    <n v="1351.3513513513512"/>
    <n v="1800"/>
    <n v="6520.6734200000001"/>
    <n v="4.394880429389761E-3"/>
    <n v="5123.2166018158241"/>
    <n v="3151.3513513513512"/>
    <s v="Leandro"/>
    <s v="Leandro"/>
    <x v="2"/>
  </r>
  <r>
    <x v="24"/>
    <x v="2"/>
    <x v="25"/>
    <n v="0.58060536865508927"/>
    <n v="232.98200000000003"/>
    <n v="0"/>
    <n v="232.98200000000003"/>
    <n v="181.29834091570095"/>
    <n v="135.27060000000003"/>
    <n v="9.2217898832684817"/>
    <n v="5.9824324324324323"/>
    <n v="30.823518600000011"/>
    <n v="7.0000000000000007E-2"/>
    <n v="2.5899999999999999E-2"/>
    <n v="3.6400000000000002E-2"/>
    <n v="51.68365908429908"/>
    <n v="0.22183541683176844"/>
    <n v="0"/>
    <n v="0"/>
    <x v="0"/>
    <n v="18"/>
    <n v="16.308740000000004"/>
    <n v="52.958922444755899"/>
    <n v="2.9421623580419944"/>
    <n v="0.71290536865508924"/>
    <n v="15.204222315700914"/>
    <n v="3566.4392600000001"/>
    <n v="6.5326221201367107E-2"/>
    <n v="3.5729745226222361E-2"/>
    <n v="2432.4324324324325"/>
    <n v="3550"/>
    <n v="6520.6734200000001"/>
    <n v="3.5729745226222361E-2"/>
    <n v="9221.7898832684823"/>
    <n v="5982.4324324324325"/>
    <s v="Leandro"/>
    <s v="Leandro"/>
    <x v="2"/>
  </r>
  <r>
    <x v="49"/>
    <x v="0"/>
    <x v="55"/>
    <n v="0"/>
    <n v="0"/>
    <n v="0"/>
    <n v="0"/>
    <n v="1.2843835801034245"/>
    <n v="0"/>
    <n v="1.0246433203631649"/>
    <n v="0.25974025974025972"/>
    <n v="0"/>
    <n v="0"/>
    <n v="2.5899999999999999E-2"/>
    <n v="3.6400000000000002E-2"/>
    <n v="-1.2843835801034245"/>
    <n v="0"/>
    <n v="0"/>
    <n v="0"/>
    <x v="0"/>
    <n v="2"/>
    <n v="0"/>
    <n v="1.3697169458285428"/>
    <n v="0.68485847291427138"/>
    <n v="6.2300000000000001E-2"/>
    <n v="1.2843835801034245"/>
    <n v="244.51567999999992"/>
    <n v="0"/>
    <n v="0"/>
    <n v="259.74025974025972"/>
    <n v="0"/>
    <n v="6520.6734200000001"/>
    <n v="0"/>
    <n v="1024.6433203631648"/>
    <n v="259.74025974025972"/>
    <s v="Luisa"/>
    <s v="Luisa"/>
    <x v="2"/>
  </r>
  <r>
    <x v="48"/>
    <x v="0"/>
    <x v="54"/>
    <n v="0.50542430282112394"/>
    <n v="19.748159999999999"/>
    <n v="0"/>
    <n v="19.748159999999999"/>
    <n v="11.211510368000006"/>
    <n v="9.9812000000000065"/>
    <n v="0"/>
    <n v="0"/>
    <n v="1.230310368"/>
    <n v="0"/>
    <n v="2.5899999999999999E-2"/>
    <n v="3.6400000000000002E-2"/>
    <n v="8.5366496319999925"/>
    <n v="0.43227569717887604"/>
    <n v="0"/>
    <n v="0"/>
    <x v="0"/>
    <n v="0"/>
    <n v="0"/>
    <n v="0"/>
    <n v="0"/>
    <n v="0.56772430282112396"/>
    <n v="0"/>
    <n v="244.51567999999992"/>
    <n v="8.0764391060728719E-2"/>
    <n v="3.0285460914863602E-3"/>
    <n v="0"/>
    <n v="0"/>
    <n v="6520.6734200000001"/>
    <n v="3.0285460914863602E-3"/>
    <n v="0"/>
    <n v="0"/>
    <s v="Luisa"/>
    <s v="Luisa"/>
    <x v="2"/>
  </r>
  <r>
    <x v="7"/>
    <x v="0"/>
    <x v="7"/>
    <n v="0"/>
    <n v="0"/>
    <n v="0"/>
    <n v="0"/>
    <n v="0.8421917900517123"/>
    <n v="0"/>
    <n v="0.51232166018158243"/>
    <n v="0.32987012987012987"/>
    <n v="0"/>
    <n v="0"/>
    <n v="2.5899999999999999E-2"/>
    <n v="3.6400000000000002E-2"/>
    <n v="-0.8421917900517123"/>
    <n v="0"/>
    <n v="0"/>
    <n v="0"/>
    <x v="0"/>
    <n v="1"/>
    <n v="0"/>
    <n v="0.89814630484345992"/>
    <n v="0.89814630484345992"/>
    <n v="6.2300000000000001E-2"/>
    <n v="0.8421917900517123"/>
    <n v="244.51567999999992"/>
    <n v="0"/>
    <n v="0"/>
    <n v="129.87012987012986"/>
    <n v="200"/>
    <n v="6520.6734200000001"/>
    <n v="0"/>
    <n v="512.32166018158239"/>
    <n v="329.87012987012986"/>
    <s v="Luisa"/>
    <s v="Luisa"/>
    <x v="2"/>
  </r>
  <r>
    <x v="5"/>
    <x v="0"/>
    <x v="5"/>
    <n v="0"/>
    <n v="0"/>
    <n v="0"/>
    <n v="0"/>
    <n v="0"/>
    <n v="0"/>
    <n v="0"/>
    <n v="0"/>
    <n v="0"/>
    <n v="0"/>
    <n v="2.5899999999999999E-2"/>
    <n v="3.6400000000000002E-2"/>
    <n v="0"/>
    <n v="0"/>
    <n v="0"/>
    <n v="0"/>
    <x v="0"/>
    <n v="0"/>
    <n v="0"/>
    <n v="0"/>
    <n v="0"/>
    <n v="6.2300000000000001E-2"/>
    <n v="0"/>
    <n v="244.51567999999992"/>
    <n v="0"/>
    <n v="0"/>
    <n v="0"/>
    <n v="0"/>
    <n v="6520.6734200000001"/>
    <n v="0"/>
    <n v="0"/>
    <n v="0"/>
    <s v="Luisa"/>
    <s v="Luisa"/>
    <x v="2"/>
  </r>
  <r>
    <x v="13"/>
    <x v="0"/>
    <x v="14"/>
    <n v="0"/>
    <n v="0"/>
    <n v="0"/>
    <n v="0"/>
    <n v="0.75113179005171227"/>
    <n v="0"/>
    <n v="0.51232166018158243"/>
    <n v="0.23881012987012987"/>
    <n v="0"/>
    <n v="0"/>
    <n v="2.5899999999999999E-2"/>
    <n v="3.6400000000000002E-2"/>
    <n v="-0.75113179005171227"/>
    <n v="0"/>
    <n v="0"/>
    <n v="0"/>
    <x v="0"/>
    <n v="1"/>
    <n v="0"/>
    <n v="0.80103635496610037"/>
    <n v="0.80103635496610037"/>
    <n v="6.2300000000000001E-2"/>
    <n v="0.75113179005171227"/>
    <n v="244.51567999999992"/>
    <n v="0"/>
    <n v="0"/>
    <n v="129.87012987012986"/>
    <n v="108.94"/>
    <n v="6520.6734200000001"/>
    <n v="0"/>
    <n v="512.32166018158239"/>
    <n v="238.81012987012986"/>
    <s v="Luisa"/>
    <s v="Luisa"/>
    <x v="2"/>
  </r>
  <r>
    <x v="7"/>
    <x v="0"/>
    <x v="8"/>
    <n v="0"/>
    <n v="0"/>
    <n v="10"/>
    <n v="-10"/>
    <n v="3.3687471602068491"/>
    <n v="0"/>
    <n v="2.0492866407263297"/>
    <n v="1.3194605194805193"/>
    <n v="0"/>
    <n v="0"/>
    <n v="2.5899999999999999E-2"/>
    <n v="3.6400000000000002E-2"/>
    <n v="-13.36874716020685"/>
    <n v="1.3368747160206849"/>
    <n v="0"/>
    <n v="0"/>
    <x v="0"/>
    <n v="4"/>
    <n v="0"/>
    <n v="14.256955487050069"/>
    <n v="3.5642388717625173"/>
    <n v="6.2300000000000001E-2"/>
    <n v="3.3687471602068491"/>
    <n v="244.51567999999992"/>
    <n v="0"/>
    <n v="0"/>
    <n v="519.48051948051943"/>
    <n v="799.98"/>
    <n v="6520.6734200000001"/>
    <n v="0"/>
    <n v="2049.2866407263296"/>
    <n v="1319.4605194805195"/>
    <s v="Luisa"/>
    <s v="Luisa"/>
    <x v="2"/>
  </r>
  <r>
    <x v="0"/>
    <x v="0"/>
    <x v="0"/>
    <n v="0.48760944312010363"/>
    <n v="72.069399999999987"/>
    <n v="0"/>
    <n v="72.069399999999987"/>
    <n v="51.19152773046541"/>
    <n v="35.141719999999992"/>
    <n v="4.6108949416342409"/>
    <n v="1.9041311688311688"/>
    <n v="9.5347816200000004"/>
    <n v="7.0000000000000007E-2"/>
    <n v="2.5899999999999999E-2"/>
    <n v="3.6400000000000002E-2"/>
    <n v="20.877872269534578"/>
    <n v="0.28969121804170123"/>
    <n v="0"/>
    <n v="0"/>
    <x v="0"/>
    <n v="9"/>
    <n v="5.0448579999999996"/>
    <n v="17.140720790188094"/>
    <n v="1.9045245322431217"/>
    <n v="0.61990944312010365"/>
    <n v="6.5150261104654099"/>
    <n v="244.51567999999992"/>
    <n v="0.29474347003022472"/>
    <n v="1.1052447401974011E-2"/>
    <n v="1168.8311688311687"/>
    <n v="735.30000000000007"/>
    <n v="6520.6734200000001"/>
    <n v="1.1052447401974011E-2"/>
    <n v="4610.8949416342411"/>
    <n v="1904.1311688311689"/>
    <s v="Luisa"/>
    <s v="Luisa"/>
    <x v="2"/>
  </r>
  <r>
    <x v="1"/>
    <x v="0"/>
    <x v="1"/>
    <n v="0"/>
    <n v="0"/>
    <n v="0"/>
    <n v="0"/>
    <n v="9.5018598888362078"/>
    <n v="0"/>
    <n v="6.1478599221789878"/>
    <n v="3.3539999666572196"/>
    <n v="0"/>
    <n v="0"/>
    <n v="2.5899999999999999E-2"/>
    <n v="3.6400000000000002E-2"/>
    <n v="-9.5018598888362078"/>
    <n v="0"/>
    <n v="0"/>
    <n v="0"/>
    <x v="0"/>
    <n v="12"/>
    <n v="0"/>
    <n v="10.133155474923971"/>
    <n v="0.84442962291033086"/>
    <n v="6.2300000000000001E-2"/>
    <n v="9.5018598888362078"/>
    <n v="244.51567999999992"/>
    <n v="0"/>
    <n v="0"/>
    <n v="1558.4415584415583"/>
    <n v="1795.5584082156611"/>
    <n v="6520.6734200000001"/>
    <n v="0"/>
    <n v="6147.8599221789882"/>
    <n v="3353.9999666572194"/>
    <s v="Luisa"/>
    <s v="Luisa"/>
    <x v="2"/>
  </r>
  <r>
    <x v="6"/>
    <x v="0"/>
    <x v="6"/>
    <n v="0"/>
    <n v="0"/>
    <n v="0"/>
    <n v="0"/>
    <n v="12.256508640827395"/>
    <n v="0"/>
    <n v="8.1971465629053188"/>
    <n v="4.0593620779220769"/>
    <n v="0"/>
    <n v="0.03"/>
    <n v="2.5899999999999999E-2"/>
    <n v="3.6400000000000002E-2"/>
    <n v="-12.256508640827395"/>
    <n v="0"/>
    <n v="0"/>
    <n v="0"/>
    <x v="0"/>
    <n v="16"/>
    <n v="0"/>
    <n v="13.502818817701218"/>
    <n v="0.84392617610632614"/>
    <n v="9.2299999999999993E-2"/>
    <n v="12.256508640827395"/>
    <n v="244.51567999999992"/>
    <n v="0"/>
    <n v="0"/>
    <n v="2077.9220779220777"/>
    <n v="1981.4399999999996"/>
    <n v="6520.6734200000001"/>
    <n v="0"/>
    <n v="8197.1465629053182"/>
    <n v="4059.3620779220773"/>
    <s v="Luisa"/>
    <s v="Luisa"/>
    <x v="2"/>
  </r>
  <r>
    <x v="9"/>
    <x v="0"/>
    <x v="10"/>
    <n v="0"/>
    <n v="0"/>
    <n v="0"/>
    <n v="0"/>
    <n v="0"/>
    <n v="0"/>
    <n v="0"/>
    <n v="0"/>
    <n v="0"/>
    <n v="0"/>
    <n v="2.5899999999999999E-2"/>
    <n v="3.6400000000000002E-2"/>
    <n v="0"/>
    <n v="0"/>
    <n v="0"/>
    <n v="0"/>
    <x v="0"/>
    <n v="0"/>
    <n v="0"/>
    <n v="0"/>
    <n v="0"/>
    <n v="6.2300000000000001E-2"/>
    <n v="0"/>
    <n v="244.51567999999992"/>
    <n v="0"/>
    <n v="0"/>
    <n v="0"/>
    <n v="0"/>
    <n v="6520.6734200000001"/>
    <n v="0"/>
    <n v="0"/>
    <n v="0"/>
    <s v="Luisa"/>
    <s v="Luisa"/>
    <x v="2"/>
  </r>
  <r>
    <x v="14"/>
    <x v="0"/>
    <x v="15"/>
    <n v="0"/>
    <n v="0"/>
    <n v="0"/>
    <n v="0"/>
    <n v="3.6194589502585615"/>
    <n v="0"/>
    <n v="2.561608300907912"/>
    <n v="1.0578506493506492"/>
    <n v="0"/>
    <n v="0"/>
    <n v="2.5899999999999999E-2"/>
    <n v="3.6400000000000002E-2"/>
    <n v="-3.6194589502585615"/>
    <n v="0"/>
    <n v="0"/>
    <n v="0"/>
    <x v="0"/>
    <n v="5"/>
    <n v="0"/>
    <n v="3.8599327612867245"/>
    <n v="0.77198655225734492"/>
    <n v="6.2300000000000001E-2"/>
    <n v="3.6194589502585615"/>
    <n v="244.51567999999992"/>
    <n v="0"/>
    <n v="0"/>
    <n v="649.35064935064929"/>
    <n v="408.5"/>
    <n v="6520.6734200000001"/>
    <n v="0"/>
    <n v="2561.6083009079121"/>
    <n v="1057.8506493506493"/>
    <s v="Luisa"/>
    <s v="Luisa"/>
    <x v="2"/>
  </r>
  <r>
    <x v="15"/>
    <x v="0"/>
    <x v="16"/>
    <n v="0"/>
    <n v="0"/>
    <n v="0"/>
    <n v="0"/>
    <n v="9.1368728484635717"/>
    <n v="0"/>
    <n v="5.6355382619974064"/>
    <n v="3.5013345864661649"/>
    <n v="0"/>
    <n v="0.03"/>
    <n v="2.5899999999999999E-2"/>
    <n v="3.6400000000000002E-2"/>
    <n v="-9.1368728484635717"/>
    <n v="0"/>
    <n v="0"/>
    <n v="0"/>
    <x v="0"/>
    <n v="11"/>
    <n v="0"/>
    <n v="10.065961053722125"/>
    <n v="0.91508736852019323"/>
    <n v="9.2299999999999993E-2"/>
    <n v="9.1368728484635717"/>
    <n v="244.51567999999992"/>
    <n v="0"/>
    <n v="0"/>
    <n v="1428.5714285714284"/>
    <n v="2072.7631578947367"/>
    <n v="6520.6734200000001"/>
    <n v="0"/>
    <n v="5635.5382619974062"/>
    <n v="3501.3345864661651"/>
    <s v="Luisa"/>
    <s v="Luisa"/>
    <x v="2"/>
  </r>
  <r>
    <x v="16"/>
    <x v="0"/>
    <x v="17"/>
    <n v="0"/>
    <n v="0"/>
    <n v="0"/>
    <n v="0"/>
    <n v="0"/>
    <n v="0"/>
    <n v="0"/>
    <n v="0"/>
    <n v="0"/>
    <n v="6.5000000000000002E-2"/>
    <n v="2.5899999999999999E-2"/>
    <n v="3.6400000000000002E-2"/>
    <n v="0"/>
    <n v="0"/>
    <n v="0"/>
    <n v="0"/>
    <x v="0"/>
    <n v="0"/>
    <n v="0"/>
    <n v="0"/>
    <n v="0"/>
    <n v="0.12730000000000002"/>
    <n v="0"/>
    <n v="244.51567999999992"/>
    <n v="0"/>
    <n v="0"/>
    <n v="0"/>
    <n v="0"/>
    <n v="6520.6734200000001"/>
    <n v="0"/>
    <n v="0"/>
    <n v="0"/>
    <s v="Luisa"/>
    <s v="Luisa"/>
    <x v="2"/>
  </r>
  <r>
    <x v="51"/>
    <x v="0"/>
    <x v="58"/>
    <n v="0"/>
    <n v="0"/>
    <n v="0"/>
    <n v="0"/>
    <n v="0.64219179005171223"/>
    <n v="0"/>
    <n v="0.51232166018158243"/>
    <n v="0.12987012987012986"/>
    <n v="0"/>
    <n v="0"/>
    <n v="2.5899999999999999E-2"/>
    <n v="3.6400000000000002E-2"/>
    <n v="-0.64219179005171223"/>
    <n v="0"/>
    <n v="0"/>
    <n v="0"/>
    <x v="0"/>
    <n v="1"/>
    <n v="0"/>
    <n v="0.68485847291427138"/>
    <n v="0.68485847291427138"/>
    <n v="6.2300000000000001E-2"/>
    <n v="0.64219179005171223"/>
    <n v="244.51567999999992"/>
    <n v="0"/>
    <n v="0"/>
    <n v="129.87012987012986"/>
    <n v="0"/>
    <n v="6520.6734200000001"/>
    <n v="0"/>
    <n v="512.32166018158239"/>
    <n v="129.87012987012986"/>
    <s v="Luisa"/>
    <s v="Luisa"/>
    <x v="2"/>
  </r>
  <r>
    <x v="18"/>
    <x v="0"/>
    <x v="19"/>
    <n v="0"/>
    <n v="0"/>
    <n v="0"/>
    <n v="0"/>
    <n v="3.9109589502585616"/>
    <n v="0"/>
    <n v="2.561608300907912"/>
    <n v="1.3493506493506493"/>
    <n v="0"/>
    <n v="0"/>
    <n v="2.5899999999999999E-2"/>
    <n v="3.6400000000000002E-2"/>
    <n v="-3.9109589502585616"/>
    <n v="0"/>
    <n v="0"/>
    <n v="0"/>
    <x v="0"/>
    <n v="5"/>
    <n v="0"/>
    <n v="4.1707997763235172"/>
    <n v="0.83415995526470343"/>
    <n v="6.2300000000000001E-2"/>
    <n v="3.9109589502585616"/>
    <n v="244.51567999999992"/>
    <n v="0"/>
    <n v="0"/>
    <n v="649.35064935064929"/>
    <n v="700"/>
    <n v="6520.6734200000001"/>
    <n v="0"/>
    <n v="2561.6083009079121"/>
    <n v="1349.3506493506493"/>
    <s v="Luisa"/>
    <s v="Luisa"/>
    <x v="2"/>
  </r>
  <r>
    <x v="2"/>
    <x v="0"/>
    <x v="2"/>
    <n v="0"/>
    <n v="0"/>
    <n v="0"/>
    <n v="0"/>
    <n v="1.5343835801034245"/>
    <n v="0"/>
    <n v="1.0246433203631649"/>
    <n v="0.50974025974025972"/>
    <n v="0"/>
    <n v="0"/>
    <n v="2.5899999999999999E-2"/>
    <n v="3.6400000000000002E-2"/>
    <n v="-1.5343835801034245"/>
    <n v="0"/>
    <n v="0"/>
    <n v="0"/>
    <x v="0"/>
    <n v="2"/>
    <n v="0"/>
    <n v="1.6363267357400282"/>
    <n v="0.81816336787001409"/>
    <n v="6.2300000000000001E-2"/>
    <n v="1.5343835801034245"/>
    <n v="244.51567999999992"/>
    <n v="0"/>
    <n v="0"/>
    <n v="259.74025974025972"/>
    <n v="250"/>
    <n v="6520.6734200000001"/>
    <n v="0"/>
    <n v="1024.6433203631648"/>
    <n v="509.74025974025972"/>
    <s v="Luisa"/>
    <s v="Luisa"/>
    <x v="2"/>
  </r>
  <r>
    <x v="3"/>
    <x v="0"/>
    <x v="3"/>
    <n v="0"/>
    <n v="0"/>
    <n v="0"/>
    <n v="0"/>
    <n v="0"/>
    <n v="0"/>
    <n v="0"/>
    <n v="0"/>
    <n v="0"/>
    <n v="0"/>
    <n v="2.5899999999999999E-2"/>
    <n v="3.6400000000000002E-2"/>
    <n v="0"/>
    <n v="0"/>
    <n v="0"/>
    <n v="0"/>
    <x v="0"/>
    <n v="0"/>
    <n v="0"/>
    <n v="0"/>
    <n v="0"/>
    <n v="6.2300000000000001E-2"/>
    <n v="0"/>
    <n v="244.51567999999992"/>
    <n v="0"/>
    <n v="0"/>
    <n v="0"/>
    <n v="0"/>
    <n v="6520.6734200000001"/>
    <n v="0"/>
    <n v="0"/>
    <n v="0"/>
    <s v="Luisa"/>
    <s v="Luisa"/>
    <x v="2"/>
  </r>
  <r>
    <x v="8"/>
    <x v="0"/>
    <x v="9"/>
    <n v="0"/>
    <n v="0"/>
    <n v="6.4500000000000002E-2"/>
    <n v="-6.4500000000000002E-2"/>
    <n v="5.2453425303619854"/>
    <n v="0"/>
    <n v="3.5862516212710767"/>
    <n v="1.6590909090909089"/>
    <n v="0"/>
    <n v="0.09"/>
    <n v="2.5899999999999999E-2"/>
    <n v="3.6400000000000002E-2"/>
    <n v="-5.3098425303619852"/>
    <n v="82.323140005612174"/>
    <n v="0"/>
    <n v="0"/>
    <x v="0"/>
    <n v="7"/>
    <n v="0"/>
    <n v="6.2638227325256404"/>
    <n v="0.89483181893223429"/>
    <n v="0.15229999999999999"/>
    <n v="5.2453425303619854"/>
    <n v="244.51567999999992"/>
    <n v="0"/>
    <n v="0"/>
    <n v="909.09090909090901"/>
    <n v="750"/>
    <n v="6520.6734200000001"/>
    <n v="0"/>
    <n v="3586.2516212710766"/>
    <n v="1659.090909090909"/>
    <s v="Luisa"/>
    <s v="Luisa"/>
    <x v="2"/>
  </r>
  <r>
    <x v="11"/>
    <x v="0"/>
    <x v="12"/>
    <n v="0"/>
    <n v="0"/>
    <n v="0"/>
    <n v="0"/>
    <n v="0"/>
    <n v="0"/>
    <n v="0"/>
    <n v="0"/>
    <n v="0"/>
    <n v="0"/>
    <n v="2.5899999999999999E-2"/>
    <n v="3.6400000000000002E-2"/>
    <n v="0"/>
    <n v="0"/>
    <n v="0"/>
    <n v="0"/>
    <x v="0"/>
    <n v="0"/>
    <n v="0"/>
    <n v="0"/>
    <n v="0"/>
    <n v="6.2300000000000001E-2"/>
    <n v="0"/>
    <n v="244.51567999999992"/>
    <n v="0"/>
    <n v="0"/>
    <n v="0"/>
    <n v="0"/>
    <n v="6520.6734200000001"/>
    <n v="0"/>
    <n v="0"/>
    <n v="0"/>
    <s v="Luisa"/>
    <s v="Luisa"/>
    <x v="2"/>
  </r>
  <r>
    <x v="49"/>
    <x v="0"/>
    <x v="57"/>
    <n v="0"/>
    <n v="0"/>
    <n v="0"/>
    <n v="0"/>
    <n v="0"/>
    <n v="0"/>
    <n v="0"/>
    <n v="0"/>
    <n v="0"/>
    <n v="0"/>
    <n v="2.5899999999999999E-2"/>
    <n v="3.6400000000000002E-2"/>
    <n v="0"/>
    <n v="0"/>
    <n v="0"/>
    <n v="0"/>
    <x v="0"/>
    <n v="0"/>
    <n v="0"/>
    <n v="0"/>
    <n v="0"/>
    <n v="6.2300000000000001E-2"/>
    <n v="0"/>
    <n v="244.51567999999992"/>
    <n v="0"/>
    <n v="0"/>
    <n v="0"/>
    <n v="0"/>
    <n v="6520.6734200000001"/>
    <n v="0"/>
    <n v="0"/>
    <n v="0"/>
    <s v="Luisa"/>
    <s v="Luisa"/>
    <x v="2"/>
  </r>
  <r>
    <x v="26"/>
    <x v="0"/>
    <x v="27"/>
    <n v="0.6096748326049477"/>
    <n v="49.881999999999991"/>
    <n v="0"/>
    <n v="49.881999999999991"/>
    <n v="38.519448599999997"/>
    <n v="30.411799999999996"/>
    <n v="5"/>
    <n v="0"/>
    <n v="3.1076485999999997"/>
    <n v="0"/>
    <n v="2.5899999999999999E-2"/>
    <n v="3.6400000000000002E-2"/>
    <n v="11.362551399999994"/>
    <n v="0.22778860911751725"/>
    <n v="0"/>
    <n v="0"/>
    <x v="0"/>
    <n v="0"/>
    <n v="0"/>
    <n v="15.242732866220365"/>
    <n v="15.242732866220365"/>
    <n v="0.67197483260494772"/>
    <n v="5"/>
    <n v="244.51567999999992"/>
    <n v="0.2040032770086565"/>
    <n v="7.6498233828125057E-3"/>
    <n v="0"/>
    <n v="0"/>
    <n v="6520.6734200000001"/>
    <n v="7.6498233828125057E-3"/>
    <n v="0"/>
    <n v="0"/>
    <s v="Luisa"/>
    <s v="Luisa"/>
    <x v="2"/>
  </r>
  <r>
    <x v="37"/>
    <x v="3"/>
    <x v="40"/>
    <n v="0.55514382524691808"/>
    <n v="166.452"/>
    <n v="5.2"/>
    <n v="161.25200000000001"/>
    <n v="133.06329238497432"/>
    <n v="92.404800000000009"/>
    <n v="13.320363164721142"/>
    <n v="8.6455696202531662"/>
    <n v="18.692559599999999"/>
    <n v="0.05"/>
    <n v="2.5899999999999999E-2"/>
    <n v="3.6400000000000002E-2"/>
    <n v="28.188707615025692"/>
    <n v="0.17481152243088885"/>
    <n v="2.8867478912839739"/>
    <n v="3.1240237425804437E-2"/>
    <x v="0"/>
    <n v="26"/>
    <n v="8.3225999999999996"/>
    <n v="81.688252534010559"/>
    <n v="3.1418558666927137"/>
    <n v="0.66744382524691803"/>
    <n v="21.965932784974306"/>
    <n v="2233.6540600000003"/>
    <n v="7.4520044522919535E-2"/>
    <n v="2.5526811309007406E-2"/>
    <n v="1645.5696202531647"/>
    <n v="7000"/>
    <n v="6520.6734200000001"/>
    <n v="2.5526811309007406E-2"/>
    <n v="13320.363164721142"/>
    <n v="8645.5696202531653"/>
    <s v="Luiz"/>
    <s v="Luiz"/>
    <x v="2"/>
  </r>
  <r>
    <x v="41"/>
    <x v="3"/>
    <x v="46"/>
    <n v="0"/>
    <n v="0"/>
    <n v="32.99"/>
    <n v="-32.99"/>
    <n v="19.663481587285951"/>
    <n v="0"/>
    <n v="11.271076523994813"/>
    <n v="8.3924050632911378"/>
    <n v="0"/>
    <n v="0.05"/>
    <n v="2.5899999999999999E-2"/>
    <n v="3.6400000000000002E-2"/>
    <n v="-52.653481587285953"/>
    <n v="1.5960436977049393"/>
    <n v="0"/>
    <n v="0"/>
    <x v="0"/>
    <n v="22"/>
    <n v="0"/>
    <n v="59.314499929352202"/>
    <n v="2.6961136331523727"/>
    <n v="0.1123"/>
    <n v="19.663481587285951"/>
    <n v="2233.6540600000003"/>
    <n v="0"/>
    <n v="0"/>
    <n v="1392.4050632911394"/>
    <n v="7000"/>
    <n v="6520.6734200000001"/>
    <n v="0"/>
    <n v="11271.076523994812"/>
    <n v="8392.4050632911385"/>
    <s v="Luiz"/>
    <s v="Luiz"/>
    <x v="2"/>
  </r>
  <r>
    <x v="27"/>
    <x v="3"/>
    <x v="28"/>
    <n v="0.51546916880452132"/>
    <n v="66.827119999999965"/>
    <n v="52.183"/>
    <n v="14.644119999999965"/>
    <n v="41.713100773688332"/>
    <n v="34.447319999999984"/>
    <n v="2.0492866407263297"/>
    <n v="1.0531645569620252"/>
    <n v="4.163329575999998"/>
    <n v="0"/>
    <n v="2.5899999999999999E-2"/>
    <n v="3.6400000000000002E-2"/>
    <n v="-27.068980773688367"/>
    <n v="-1.8484539032518466"/>
    <n v="26.898727635726335"/>
    <n v="0.78086561264349008"/>
    <x v="0"/>
    <n v="4"/>
    <n v="0"/>
    <n v="130.93655676719885"/>
    <n v="32.734139191799713"/>
    <n v="0.57776916880452134"/>
    <n v="3.1024511976883549"/>
    <n v="2233.6540600000003"/>
    <n v="2.9918294509759472E-2"/>
    <n v="1.0248499763081214E-2"/>
    <n v="253.16455696202533"/>
    <n v="800"/>
    <n v="6520.6734200000001"/>
    <n v="1.0248499763081214E-2"/>
    <n v="2049.2866407263296"/>
    <n v="1053.1645569620252"/>
    <s v="Luiz"/>
    <s v="Luiz"/>
    <x v="2"/>
  </r>
  <r>
    <x v="34"/>
    <x v="3"/>
    <x v="37"/>
    <n v="0.50302812886219339"/>
    <n v="81.677100000000124"/>
    <n v="0.39199000000000001"/>
    <n v="81.285110000000117"/>
    <n v="62.585705503487915"/>
    <n v="41.085878783890315"/>
    <n v="9.2217898832684817"/>
    <n v="4.7392405063291134"/>
    <n v="7.5387963300000109"/>
    <n v="0.03"/>
    <n v="2.5899999999999999E-2"/>
    <n v="3.6400000000000002E-2"/>
    <n v="18.699404496512201"/>
    <n v="0.23004710821591032"/>
    <n v="0.1971819962326912"/>
    <n v="4.7992644205046382E-3"/>
    <x v="0"/>
    <n v="18"/>
    <n v="2.4503130000000035"/>
    <n v="35.46829274108314"/>
    <n v="1.9704607078379521"/>
    <n v="0.59532812886219344"/>
    <n v="13.961030389597596"/>
    <n v="2233.6540600000003"/>
    <n v="3.656658453189484E-2"/>
    <n v="1.252586883886605E-2"/>
    <n v="1139.2405063291139"/>
    <n v="3600"/>
    <n v="6520.6734200000001"/>
    <n v="1.252586883886605E-2"/>
    <n v="9221.7898832684823"/>
    <n v="4739.2405063291135"/>
    <s v="Luiz"/>
    <s v="Luiz"/>
    <x v="2"/>
  </r>
  <r>
    <x v="43"/>
    <x v="3"/>
    <x v="49"/>
    <n v="0"/>
    <n v="0"/>
    <n v="0"/>
    <n v="0"/>
    <n v="9.8780639971104431"/>
    <n v="0"/>
    <n v="2.561608300907912"/>
    <n v="7.3164556962025316"/>
    <n v="0"/>
    <n v="0"/>
    <n v="2.5899999999999999E-2"/>
    <n v="3.6400000000000002E-2"/>
    <n v="-9.8780639971104431"/>
    <n v="0"/>
    <n v="0"/>
    <n v="0"/>
    <x v="0"/>
    <n v="5"/>
    <n v="0"/>
    <n v="10.534354268007299"/>
    <n v="2.1068708536014595"/>
    <n v="6.2300000000000001E-2"/>
    <n v="9.8780639971104431"/>
    <n v="2233.6540600000003"/>
    <n v="0"/>
    <n v="0"/>
    <n v="316.45569620253167"/>
    <n v="7000"/>
    <n v="6520.6734200000001"/>
    <n v="0"/>
    <n v="2561.6083009079121"/>
    <n v="7316.4556962025317"/>
    <s v="Luiz"/>
    <s v="Luiz"/>
    <x v="2"/>
  </r>
  <r>
    <x v="32"/>
    <x v="3"/>
    <x v="34"/>
    <n v="0.56820945945945944"/>
    <n v="118.29040000000001"/>
    <n v="9.3743999999999996"/>
    <n v="108.91600000000001"/>
    <n v="84.707443358042042"/>
    <n v="67.213724243243249"/>
    <n v="4.6108949416342409"/>
    <n v="1.9646202531645569"/>
    <n v="10.91820392"/>
    <n v="0.03"/>
    <n v="2.5899999999999999E-2"/>
    <n v="3.6400000000000002E-2"/>
    <n v="24.208556641957969"/>
    <n v="0.22226813913436011"/>
    <n v="5.3266227567567563"/>
    <n v="7.9249034579306515E-2"/>
    <x v="0"/>
    <n v="9"/>
    <n v="3.5487120000000001"/>
    <n v="46.981913455977789"/>
    <n v="5.2202126062197545"/>
    <n v="0.66050945945945938"/>
    <n v="6.5755151947987978"/>
    <n v="2233.6540600000003"/>
    <n v="5.2958245467966507E-2"/>
    <n v="1.814082570631179E-2"/>
    <n v="569.62025316455697"/>
    <n v="1395"/>
    <n v="6520.6734200000001"/>
    <n v="1.814082570631179E-2"/>
    <n v="4610.8949416342411"/>
    <n v="1964.620253164557"/>
    <s v="Luiz"/>
    <s v="Luiz"/>
    <x v="2"/>
  </r>
  <r>
    <x v="27"/>
    <x v="3"/>
    <x v="29"/>
    <n v="0.51373561077706231"/>
    <n v="22.551600000000001"/>
    <n v="0"/>
    <n v="22.551600000000001"/>
    <n v="13.732797479422089"/>
    <n v="11.585559999999999"/>
    <n v="0.51232166018158243"/>
    <n v="0.22995113924050634"/>
    <n v="1.40496468"/>
    <n v="0"/>
    <n v="2.5899999999999999E-2"/>
    <n v="3.6400000000000002E-2"/>
    <n v="8.8188025205779113"/>
    <n v="0.39104997075941"/>
    <n v="0"/>
    <n v="0"/>
    <x v="0"/>
    <n v="1"/>
    <n v="0"/>
    <n v="1.7507904396936782"/>
    <n v="1.7507904396936782"/>
    <n v="0.57603561077706233"/>
    <n v="0.74227279942208879"/>
    <n v="2233.6540600000003"/>
    <n v="1.0096281426856224E-2"/>
    <n v="3.4584771460613958E-3"/>
    <n v="63.291139240506332"/>
    <n v="166.66"/>
    <n v="6520.6734200000001"/>
    <n v="3.4584771460613958E-3"/>
    <n v="512.32166018158239"/>
    <n v="229.95113924050634"/>
    <s v="Luiz"/>
    <s v="Luiz"/>
    <x v="2"/>
  </r>
  <r>
    <x v="40"/>
    <x v="3"/>
    <x v="43"/>
    <n v="0"/>
    <n v="0"/>
    <n v="0"/>
    <n v="0"/>
    <n v="2.1768383982662658"/>
    <n v="0"/>
    <n v="1.536964980544747"/>
    <n v="0.63987341772151896"/>
    <n v="0"/>
    <n v="0.03"/>
    <n v="2.5899999999999999E-2"/>
    <n v="3.6400000000000002E-2"/>
    <n v="-2.1768383982662658"/>
    <n v="0"/>
    <n v="0"/>
    <n v="0"/>
    <x v="0"/>
    <n v="3"/>
    <n v="0"/>
    <n v="2.3981914710435892"/>
    <n v="0.79939715701452974"/>
    <n v="9.2299999999999993E-2"/>
    <n v="2.1768383982662658"/>
    <n v="2233.6540600000003"/>
    <n v="0"/>
    <n v="0"/>
    <n v="189.87341772151899"/>
    <n v="450"/>
    <n v="6520.6734200000001"/>
    <n v="0"/>
    <n v="1536.964980544747"/>
    <n v="639.87341772151899"/>
    <s v="Luiz"/>
    <s v="Luiz"/>
    <x v="2"/>
  </r>
  <r>
    <x v="28"/>
    <x v="3"/>
    <x v="30"/>
    <n v="0.519802851610632"/>
    <n v="45.447999999999986"/>
    <n v="0"/>
    <n v="45.447999999999986"/>
    <n v="31.490662755903269"/>
    <n v="23.623999999999995"/>
    <n v="3.5862516212710767"/>
    <n v="1.4490007346321963"/>
    <n v="2.8314103999999993"/>
    <n v="0"/>
    <n v="2.5899999999999999E-2"/>
    <n v="3.6400000000000002E-2"/>
    <n v="13.957337244096717"/>
    <n v="0.30710564258265977"/>
    <n v="0"/>
    <n v="0"/>
    <x v="0"/>
    <n v="7"/>
    <n v="0"/>
    <n v="12.049023007957377"/>
    <n v="1.7212890011367681"/>
    <n v="0.58210285161063202"/>
    <n v="5.0352523559032729"/>
    <n v="2233.6540600000003"/>
    <n v="2.0346928745089549E-2"/>
    <n v="6.9698322661894616E-3"/>
    <n v="443.03797468354435"/>
    <n v="1005.9627599486521"/>
    <n v="6520.6734200000001"/>
    <n v="6.9698322661894616E-3"/>
    <n v="3586.2516212710766"/>
    <n v="1449.0007346321963"/>
    <s v="Luiz"/>
    <s v="Luiz"/>
    <x v="2"/>
  </r>
  <r>
    <x v="29"/>
    <x v="3"/>
    <x v="31"/>
    <n v="0.53809432543839253"/>
    <n v="99.552360000000007"/>
    <n v="26.553360000000001"/>
    <n v="72.999000000000009"/>
    <n v="114.71418498812415"/>
    <n v="53.568560000000012"/>
    <n v="35.350194552529182"/>
    <n v="14.117938607594944"/>
    <n v="11.677491828000001"/>
    <n v="5.5E-2"/>
    <n v="2.5899999999999999E-2"/>
    <n v="3.6400000000000002E-2"/>
    <n v="-41.715184988124136"/>
    <n v="-0.57144871831291022"/>
    <n v="14.288212337322795"/>
    <n v="0.26672757933614027"/>
    <x v="0"/>
    <n v="69"/>
    <n v="5.4753798000000007"/>
    <n v="220.60429868671022"/>
    <n v="3.1971637490827569"/>
    <n v="0.65539432543839249"/>
    <n v="49.468133160124125"/>
    <n v="2233.6540600000003"/>
    <n v="4.4569283033917974E-2"/>
    <n v="1.5267189995232119E-2"/>
    <n v="4367.0886075949365"/>
    <n v="9750.8500000000076"/>
    <n v="6520.6734200000001"/>
    <n v="1.5267189995232119E-2"/>
    <n v="35350.194552529181"/>
    <n v="14117.938607594944"/>
    <s v="Luiz"/>
    <s v="Luiz"/>
    <x v="2"/>
  </r>
  <r>
    <x v="30"/>
    <x v="3"/>
    <x v="32"/>
    <n v="0.46155750403270873"/>
    <n v="50.090399999999953"/>
    <n v="29.024000000000001"/>
    <n v="21.066399999999952"/>
    <n v="107.57260368634134"/>
    <n v="23.11959999999997"/>
    <n v="53.281452658884568"/>
    <n v="26.548207107456804"/>
    <n v="4.6233439199999955"/>
    <n v="0.03"/>
    <n v="2.5899999999999999E-2"/>
    <n v="3.6400000000000002E-2"/>
    <n v="-86.506203686341394"/>
    <n v="-4.1063591162392052"/>
    <n v="13.396244997045338"/>
    <n v="0.5794323862456684"/>
    <x v="0"/>
    <n v="104"/>
    <n v="1.5027119999999985"/>
    <n v="243.9885479421398"/>
    <n v="2.3460437302128829"/>
    <n v="0.55385750403270873"/>
    <n v="79.829659766341365"/>
    <n v="2233.6540600000003"/>
    <n v="2.242531683711127E-2"/>
    <n v="7.6817832720105696E-3"/>
    <n v="6582.2784810126586"/>
    <n v="19965.928626444147"/>
    <n v="6520.6734200000001"/>
    <n v="7.6817832720105696E-3"/>
    <n v="53281.452658884569"/>
    <n v="26548.207107456805"/>
    <s v="Luiz"/>
    <s v="Luiz"/>
    <x v="2"/>
  </r>
  <r>
    <x v="35"/>
    <x v="3"/>
    <x v="38"/>
    <n v="0.54182089832012914"/>
    <n v="72.55319999999999"/>
    <n v="0"/>
    <n v="72.55319999999999"/>
    <n v="71.365882922571544"/>
    <n v="39.310839999999985"/>
    <n v="17.931258106355383"/>
    <n v="7.4271244562161813"/>
    <n v="6.6966603599999983"/>
    <n v="0.03"/>
    <n v="2.5899999999999999E-2"/>
    <n v="3.6400000000000002E-2"/>
    <n v="1.1873170774284461"/>
    <n v="1.6364778912969329E-2"/>
    <n v="0"/>
    <n v="0"/>
    <x v="0"/>
    <n v="35"/>
    <n v="2.1765959999999995"/>
    <n v="69.308092334716363"/>
    <n v="1.9802312095633248"/>
    <n v="0.63412089832012919"/>
    <n v="25.358382562571563"/>
    <n v="2233.6540600000003"/>
    <n v="3.2481842779181293E-2"/>
    <n v="1.1126642192732294E-2"/>
    <n v="2215.1898734177216"/>
    <n v="5211.9345827984598"/>
    <n v="6520.6734200000001"/>
    <n v="1.1126642192732294E-2"/>
    <n v="17931.258106355384"/>
    <n v="7427.124456216181"/>
    <s v="Luiz"/>
    <s v="Luiz"/>
    <x v="2"/>
  </r>
  <r>
    <x v="44"/>
    <x v="3"/>
    <x v="50"/>
    <n v="0.51783720006180367"/>
    <n v="336.03255999999988"/>
    <n v="170.78426000000002"/>
    <n v="165.24829999999986"/>
    <n v="229.24449960731144"/>
    <n v="174.01015999999998"/>
    <n v="16.906614785992222"/>
    <n v="7.3119195333192515"/>
    <n v="31.015805287999985"/>
    <n v="0.03"/>
    <n v="2.5899999999999999E-2"/>
    <n v="3.6400000000000002E-2"/>
    <n v="-63.996199607311581"/>
    <n v="-0.38727296805662531"/>
    <n v="88.438443013027097"/>
    <n v="0.50823723748674854"/>
    <x v="0"/>
    <n v="33"/>
    <n v="10.080976799999997"/>
    <n v="500.18312685956357"/>
    <n v="15.157064450289806"/>
    <n v="0.61013720006180372"/>
    <n v="24.218534319311473"/>
    <n v="2233.6540600000003"/>
    <n v="0.1504407356616359"/>
    <n v="5.1533413553473115E-2"/>
    <n v="2088.6075949367091"/>
    <n v="5223.3119383825415"/>
    <n v="6520.6734200000001"/>
    <n v="5.1533413553473115E-2"/>
    <n v="16906.61478599222"/>
    <n v="7311.9195333192511"/>
    <s v="Luiz"/>
    <s v="Luiz"/>
    <x v="2"/>
  </r>
  <r>
    <x v="45"/>
    <x v="3"/>
    <x v="51"/>
    <n v="0.55858615490061692"/>
    <n v="364.75000000000028"/>
    <n v="87.977130000000002"/>
    <n v="276.7728700000003"/>
    <n v="252.46930419190946"/>
    <n v="203.74430000000018"/>
    <n v="7.1725032425421533"/>
    <n v="7.8860759493670889"/>
    <n v="33.666425000000025"/>
    <n v="0.03"/>
    <n v="2.5899999999999999E-2"/>
    <n v="3.6400000000000002E-2"/>
    <n v="24.303565808090838"/>
    <n v="8.7810506167352351E-2"/>
    <n v="49.142806765891713"/>
    <n v="0.24119843728581203"/>
    <x v="0"/>
    <n v="14"/>
    <n v="10.942500000000008"/>
    <n v="295.13498429882611"/>
    <n v="21.081070307059008"/>
    <n v="0.65088615490061685"/>
    <n v="15.058579191909242"/>
    <n v="2233.6540600000003"/>
    <n v="0.16329744454698605"/>
    <n v="5.5937474016295743E-2"/>
    <n v="886.0759493670887"/>
    <n v="7000"/>
    <n v="6520.6734200000001"/>
    <n v="5.5937474016295743E-2"/>
    <n v="7172.5032425421532"/>
    <n v="7886.0759493670885"/>
    <s v="Luiz"/>
    <s v="Luiz"/>
    <x v="2"/>
  </r>
  <r>
    <x v="40"/>
    <x v="3"/>
    <x v="44"/>
    <n v="0.51071194754687854"/>
    <n v="16.374240000000004"/>
    <n v="0"/>
    <n v="16.374240000000004"/>
    <n v="10.599475151422091"/>
    <n v="8.3625200000000017"/>
    <n v="0.51232166018158243"/>
    <n v="0.21329113924050633"/>
    <n v="1.5113423520000002"/>
    <n v="0.03"/>
    <n v="2.5899999999999999E-2"/>
    <n v="3.6400000000000002E-2"/>
    <n v="5.7747648485779131"/>
    <n v="0.35267376370310388"/>
    <n v="0"/>
    <n v="0"/>
    <x v="0"/>
    <n v="1"/>
    <n v="0.49122720000000009"/>
    <n v="1.8277950556403031"/>
    <n v="1.8277950556403031"/>
    <n v="0.60301194754687848"/>
    <n v="0.72561279942208878"/>
    <n v="2233.6540600000003"/>
    <n v="7.3306965000659065E-3"/>
    <n v="2.5111271406075115E-3"/>
    <n v="63.291139240506332"/>
    <n v="150"/>
    <n v="6520.6734200000001"/>
    <n v="2.5111271406075115E-3"/>
    <n v="512.32166018158239"/>
    <n v="213.29113924050634"/>
    <s v="Luiz"/>
    <s v="Luiz"/>
    <x v="2"/>
  </r>
  <r>
    <x v="40"/>
    <x v="3"/>
    <x v="45"/>
    <n v="0.51520338794781162"/>
    <n v="114.87308"/>
    <n v="21.817730000000001"/>
    <n v="93.055350000000004"/>
    <n v="72.688236481688364"/>
    <n v="59.183"/>
    <n v="2.0492866407263297"/>
    <n v="0.85316455696202531"/>
    <n v="10.602785283999999"/>
    <n v="0.03"/>
    <n v="2.5899999999999999E-2"/>
    <n v="3.6400000000000002E-2"/>
    <n v="20.367113518311641"/>
    <n v="0.21887095710576168"/>
    <n v="11.240568413330609"/>
    <n v="0.18992900686566427"/>
    <x v="0"/>
    <n v="4"/>
    <n v="3.4461923999999997"/>
    <n v="62.981897011639496"/>
    <n v="15.745474252909874"/>
    <n v="0.60750338794781156"/>
    <n v="2.9024511976883551"/>
    <n v="2233.6540600000003"/>
    <n v="5.1428321895110284E-2"/>
    <n v="1.7616751001156564E-2"/>
    <n v="253.16455696202533"/>
    <n v="600"/>
    <n v="6520.6734200000001"/>
    <n v="1.7616751001156564E-2"/>
    <n v="2049.2866407263296"/>
    <n v="853.16455696202536"/>
    <s v="Luiz"/>
    <s v="Luiz"/>
    <x v="2"/>
  </r>
  <r>
    <x v="40"/>
    <x v="3"/>
    <x v="62"/>
    <n v="0"/>
    <n v="0"/>
    <n v="0"/>
    <n v="0"/>
    <n v="0"/>
    <n v="0"/>
    <n v="0"/>
    <n v="0"/>
    <n v="0"/>
    <n v="0.03"/>
    <n v="2.5899999999999999E-2"/>
    <n v="3.6400000000000002E-2"/>
    <n v="0"/>
    <n v="0"/>
    <n v="0"/>
    <n v="0"/>
    <x v="0"/>
    <n v="0"/>
    <n v="0"/>
    <n v="0"/>
    <n v="0"/>
    <n v="9.2299999999999993E-2"/>
    <n v="0"/>
    <n v="2233.6540600000003"/>
    <n v="0"/>
    <n v="0"/>
    <n v="0"/>
    <n v="0"/>
    <n v="6520.6734200000001"/>
    <n v="0"/>
    <n v="0"/>
    <n v="0"/>
    <s v="Luiz"/>
    <s v="Luiz"/>
    <x v="2"/>
  </r>
  <r>
    <x v="32"/>
    <x v="3"/>
    <x v="35"/>
    <n v="0.58308962264150943"/>
    <n v="8.48"/>
    <n v="0"/>
    <n v="8.48"/>
    <n v="6.3029167994220892"/>
    <n v="4.9446000000000003"/>
    <n v="0.51232166018158243"/>
    <n v="6.3291139240506333E-2"/>
    <n v="0.78270399999999996"/>
    <n v="0.03"/>
    <n v="2.5899999999999999E-2"/>
    <n v="3.6400000000000002E-2"/>
    <n v="2.1770832005779113"/>
    <n v="0.25673150950211215"/>
    <n v="0"/>
    <n v="0"/>
    <x v="0"/>
    <n v="1"/>
    <n v="0.25440000000000002"/>
    <n v="1.7732421375623437"/>
    <n v="1.7732421375623437"/>
    <n v="0.67538962264150948"/>
    <n v="0.57561279942208876"/>
    <n v="2233.6540600000003"/>
    <n v="3.7964697183233463E-3"/>
    <n v="1.300479176581734E-3"/>
    <n v="63.291139240506332"/>
    <n v="0"/>
    <n v="6520.6734200000001"/>
    <n v="1.300479176581734E-3"/>
    <n v="512.32166018158239"/>
    <n v="63.291139240506332"/>
    <s v="Luiz"/>
    <s v="Luiz"/>
    <x v="2"/>
  </r>
  <r>
    <x v="47"/>
    <x v="3"/>
    <x v="53"/>
    <n v="0.52505373775973252"/>
    <n v="478.18200000000002"/>
    <n v="74.961210000000008"/>
    <n v="403.22079000000002"/>
    <n v="324.65634420688588"/>
    <n v="251.07124642942443"/>
    <n v="19.980544747081712"/>
    <n v="9.4683544303797458"/>
    <n v="44.1361986"/>
    <n v="0.03"/>
    <n v="2.5899999999999999E-2"/>
    <n v="3.6400000000000002E-2"/>
    <n v="78.564445793114146"/>
    <n v="0.1948422495603814"/>
    <n v="39.358663497492245"/>
    <n v="0.15676292708633952"/>
    <x v="0"/>
    <n v="39"/>
    <n v="14.345459999999999"/>
    <n v="272.86326688826057"/>
    <n v="6.996494022775912"/>
    <n v="0.61735373775973246"/>
    <n v="29.448899177461456"/>
    <n v="2233.6540600000003"/>
    <n v="0.21408059939236962"/>
    <n v="7.3333223303797976E-2"/>
    <n v="2468.3544303797471"/>
    <n v="6999.9999999999991"/>
    <n v="6520.6734200000001"/>
    <n v="7.3333223303797976E-2"/>
    <n v="19980.544747081713"/>
    <n v="9468.3544303797462"/>
    <s v="Luiz"/>
    <s v="Luiz"/>
    <x v="2"/>
  </r>
  <r>
    <x v="52"/>
    <x v="3"/>
    <x v="59"/>
    <n v="0.5172587719298245"/>
    <n v="191.51999999999995"/>
    <n v="0"/>
    <n v="191.51999999999995"/>
    <n v="116.74269599999997"/>
    <n v="99.065399999999968"/>
    <n v="0"/>
    <n v="0"/>
    <n v="17.677295999999995"/>
    <n v="0.03"/>
    <n v="2.5899999999999999E-2"/>
    <n v="3.6400000000000002E-2"/>
    <n v="74.777303999999987"/>
    <n v="0.39044122807017545"/>
    <n v="0"/>
    <n v="0"/>
    <x v="0"/>
    <n v="0"/>
    <n v="5.7455999999999987"/>
    <n v="0"/>
    <n v="0"/>
    <n v="0.60955877192982455"/>
    <n v="0"/>
    <n v="2233.6540600000003"/>
    <n v="8.5742910430812155E-2"/>
    <n v="2.9371199516383686E-2"/>
    <n v="0"/>
    <n v="0"/>
    <n v="6520.6734200000001"/>
    <n v="2.9371199516383686E-2"/>
    <n v="0"/>
    <n v="0"/>
    <s v="Luiz"/>
    <s v="Luiz"/>
    <x v="2"/>
  </r>
  <r>
    <x v="56"/>
    <x v="0"/>
    <x v="64"/>
    <n v="0.50644042976918446"/>
    <n v="102.81611999999997"/>
    <n v="0"/>
    <n v="102.81611999999997"/>
    <n v="58.475684276000024"/>
    <n v="52.070240000000027"/>
    <n v="0"/>
    <n v="0"/>
    <n v="6.4054442759999981"/>
    <n v="0"/>
    <n v="2.5899999999999999E-2"/>
    <n v="3.6400000000000002E-2"/>
    <n v="44.340435723999946"/>
    <n v="0.43125957023081557"/>
    <n v="0"/>
    <n v="0"/>
    <x v="0"/>
    <n v="0"/>
    <n v="0"/>
    <n v="0"/>
    <n v="0"/>
    <n v="0.56874042976918449"/>
    <n v="0"/>
    <n v="244.51567999999992"/>
    <n v="0.4204888619003902"/>
    <n v="1.5767714985486878E-2"/>
    <n v="0"/>
    <n v="0"/>
    <n v="6520.6734200000001"/>
    <n v="1.5767714985486878E-2"/>
    <n v="0"/>
    <n v="0"/>
    <s v="Luisa"/>
    <s v="Luisa"/>
    <x v="2"/>
  </r>
  <r>
    <x v="42"/>
    <x v="1"/>
    <x v="47"/>
    <n v="0.61075470497168616"/>
    <n v="29.119439999999983"/>
    <n v="22.491000000000003"/>
    <n v="6.6284399999999799"/>
    <n v="31.037563291268604"/>
    <n v="17.784834986140705"/>
    <n v="7.1632124352331612"/>
    <n v="3.8385831578947371"/>
    <n v="2.2509327119999991"/>
    <n v="1.4999999999999999E-2"/>
    <n v="2.5899999999999999E-2"/>
    <n v="3.6400000000000002E-2"/>
    <n v="-24.409123291268624"/>
    <n v="-3.6824838561213045"/>
    <n v="13.736484069518195"/>
    <n v="0.77237062251197197"/>
    <x v="0"/>
    <n v="14"/>
    <n v="0.43679159999999972"/>
    <n v="107.36752926530889"/>
    <n v="7.6691092332363491"/>
    <n v="0.68805470497168619"/>
    <n v="11.001795593127898"/>
    <n v="529.56355999999994"/>
    <n v="5.4987620371764225E-2"/>
    <n v="4.9020293589867609E-3"/>
    <n v="1105.2631578947369"/>
    <n v="2733.32"/>
    <n v="5940.2826600000026"/>
    <n v="4.9020293589867609E-3"/>
    <n v="7163.2124352331612"/>
    <n v="3838.5831578947373"/>
    <s v="Julliano"/>
    <s v="Julliano"/>
    <x v="3"/>
  </r>
  <r>
    <x v="31"/>
    <x v="1"/>
    <x v="33"/>
    <n v="0"/>
    <n v="0"/>
    <n v="0.47966000000000003"/>
    <n v="-0.47966000000000003"/>
    <n v="14.32130799018271"/>
    <n v="0"/>
    <n v="10.233160621761657"/>
    <n v="4.0881473684210521"/>
    <n v="0"/>
    <n v="7.0000000000000007E-2"/>
    <n v="2.5899999999999999E-2"/>
    <n v="3.6400000000000002E-2"/>
    <n v="-14.800967990182711"/>
    <n v="30.857207167957949"/>
    <n v="0"/>
    <n v="0"/>
    <x v="0"/>
    <n v="20"/>
    <n v="0"/>
    <n v="17.057701959413059"/>
    <n v="0.85288509797065293"/>
    <n v="0.13230000000000003"/>
    <n v="14.32130799018271"/>
    <n v="529.56355999999994"/>
    <n v="0"/>
    <n v="0"/>
    <n v="1578.9473684210525"/>
    <n v="2509.1999999999994"/>
    <n v="5940.2826600000026"/>
    <n v="0"/>
    <n v="10233.160621761657"/>
    <n v="4088.1473684210519"/>
    <s v="Julliano"/>
    <s v="Julliano"/>
    <x v="3"/>
  </r>
  <r>
    <x v="4"/>
    <x v="1"/>
    <x v="4"/>
    <n v="0"/>
    <n v="0"/>
    <n v="0"/>
    <n v="0"/>
    <n v="0.5906053995091356"/>
    <n v="0"/>
    <n v="0.51165803108808294"/>
    <n v="7.8947368421052627E-2"/>
    <n v="0"/>
    <n v="0"/>
    <n v="2.5899999999999999E-2"/>
    <n v="3.6400000000000002E-2"/>
    <n v="-0.5906053995091356"/>
    <n v="0"/>
    <n v="0"/>
    <n v="0"/>
    <x v="0"/>
    <n v="1"/>
    <n v="0"/>
    <n v="0.6298447259348785"/>
    <n v="0.6298447259348785"/>
    <n v="6.2300000000000001E-2"/>
    <n v="0.5906053995091356"/>
    <n v="529.56355999999994"/>
    <n v="0"/>
    <n v="0"/>
    <n v="78.94736842105263"/>
    <n v="0"/>
    <n v="5940.2826600000026"/>
    <n v="0"/>
    <n v="511.65803108808291"/>
    <n v="78.94736842105263"/>
    <s v="Julliano"/>
    <s v="Julliano"/>
    <x v="3"/>
  </r>
  <r>
    <x v="54"/>
    <x v="1"/>
    <x v="61"/>
    <n v="0.51972867325822036"/>
    <n v="3.4792000000000001"/>
    <n v="0"/>
    <n v="3.4792000000000001"/>
    <n v="3.7797409590182713"/>
    <n v="1.8082400000000003"/>
    <n v="1.0233160621761659"/>
    <n v="0.45309473684210527"/>
    <n v="0.49509015999999995"/>
    <n v="0.08"/>
    <n v="2.5899999999999999E-2"/>
    <n v="3.6400000000000002E-2"/>
    <n v="-0.30054095901827127"/>
    <n v="-8.6382202523071758E-2"/>
    <n v="0"/>
    <n v="0"/>
    <x v="0"/>
    <n v="2"/>
    <n v="0.27833600000000003"/>
    <n v="4.3684498719215128"/>
    <n v="2.1842249359607564"/>
    <n v="0.66202867325822035"/>
    <n v="1.4764107990182711"/>
    <n v="529.56355999999994"/>
    <n v="6.569938460267169E-3"/>
    <n v="5.8569603487521559E-4"/>
    <n v="157.89473684210526"/>
    <n v="295.2"/>
    <n v="5940.2826600000026"/>
    <n v="5.8569603487521559E-4"/>
    <n v="1023.3160621761658"/>
    <n v="453.09473684210525"/>
    <s v="Julliano"/>
    <s v="Julliano"/>
    <x v="3"/>
  </r>
  <r>
    <x v="36"/>
    <x v="1"/>
    <x v="39"/>
    <n v="0.52879663591567594"/>
    <n v="21.5928"/>
    <n v="0"/>
    <n v="21.5928"/>
    <n v="17.333799638527413"/>
    <n v="11.418200000000008"/>
    <n v="1.5349740932642488"/>
    <n v="1.0920421052631579"/>
    <n v="3.28858344"/>
    <n v="0.09"/>
    <n v="2.5899999999999999E-2"/>
    <n v="3.6400000000000002E-2"/>
    <n v="4.2590003614725873"/>
    <n v="0.19724168989073151"/>
    <n v="0"/>
    <n v="0"/>
    <x v="0"/>
    <n v="3"/>
    <n v="1.943352"/>
    <n v="8.2376559622393142"/>
    <n v="2.7458853207464382"/>
    <n v="0.68109663591567593"/>
    <n v="2.6270161985274068"/>
    <n v="529.56355999999994"/>
    <n v="4.0774708894244921E-2"/>
    <n v="3.6349785415766716E-3"/>
    <n v="236.84210526315789"/>
    <n v="855.2"/>
    <n v="5940.2826600000026"/>
    <n v="3.6349785415766716E-3"/>
    <n v="1534.9740932642487"/>
    <n v="1092.042105263158"/>
    <s v="Julliano"/>
    <s v="Julliano"/>
    <x v="3"/>
  </r>
  <r>
    <x v="10"/>
    <x v="1"/>
    <x v="11"/>
    <n v="0"/>
    <n v="0"/>
    <n v="0"/>
    <n v="0"/>
    <n v="1.1812107990182712"/>
    <n v="0"/>
    <n v="1.0233160621761659"/>
    <n v="0.15789473684210525"/>
    <n v="0"/>
    <n v="0"/>
    <n v="2.5899999999999999E-2"/>
    <n v="3.6400000000000002E-2"/>
    <n v="-1.1812107990182712"/>
    <n v="0"/>
    <n v="0"/>
    <n v="0"/>
    <x v="0"/>
    <n v="2"/>
    <n v="0"/>
    <n v="1.259689451869757"/>
    <n v="0.6298447259348785"/>
    <n v="6.2300000000000001E-2"/>
    <n v="1.1812107990182712"/>
    <n v="529.56355999999994"/>
    <n v="0"/>
    <n v="0"/>
    <n v="157.89473684210526"/>
    <n v="0"/>
    <n v="5940.2826600000026"/>
    <n v="0"/>
    <n v="1023.3160621761658"/>
    <n v="157.89473684210526"/>
    <s v="Julliano"/>
    <s v="Julliano"/>
    <x v="3"/>
  </r>
  <r>
    <x v="39"/>
    <x v="1"/>
    <x v="42"/>
    <n v="0.50614223577382178"/>
    <n v="159.94175999999993"/>
    <n v="15.894600000000001"/>
    <n v="144.04715999999993"/>
    <n v="123.25090864063699"/>
    <n v="80.953279999999978"/>
    <n v="7.6748704663212441"/>
    <n v="8.6642105263157898"/>
    <n v="25.958547647999989"/>
    <n v="0.1"/>
    <n v="2.5899999999999999E-2"/>
    <n v="3.6400000000000002E-2"/>
    <n v="20.796251359362941"/>
    <n v="0.14437113067250301"/>
    <n v="8.0449283807305871"/>
    <n v="9.9377423382111141E-2"/>
    <x v="0"/>
    <n v="15"/>
    <n v="15.994175999999994"/>
    <n v="97.218899602206989"/>
    <n v="6.4812599734804657"/>
    <n v="0.66844223577382178"/>
    <n v="16.339080992637033"/>
    <n v="529.56355999999994"/>
    <n v="0.30202561520660515"/>
    <n v="2.6924940975788493E-2"/>
    <n v="1184.2105263157894"/>
    <n v="7480"/>
    <n v="5940.2826600000026"/>
    <n v="2.6924940975788493E-2"/>
    <n v="7674.8704663212438"/>
    <n v="8664.21052631579"/>
    <s v="Julliano"/>
    <s v="Julliano"/>
    <x v="3"/>
  </r>
  <r>
    <x v="42"/>
    <x v="1"/>
    <x v="48"/>
    <n v="0.61845536762529507"/>
    <n v="273.63576"/>
    <n v="80.851320000000001"/>
    <n v="192.78444000000002"/>
    <n v="228.85843496821121"/>
    <n v="169.23150454622703"/>
    <n v="27.117875647668395"/>
    <n v="11.357010526315788"/>
    <n v="21.152044248000003"/>
    <n v="1.4999999999999999E-2"/>
    <n v="2.5899999999999999E-2"/>
    <n v="3.6400000000000002E-2"/>
    <n v="-36.073994968211196"/>
    <n v="-0.18712088469490168"/>
    <n v="50.002932833590371"/>
    <n v="0.29547059200157172"/>
    <x v="0"/>
    <n v="53"/>
    <n v="4.1045363999999998"/>
    <n v="392.2048032289461"/>
    <n v="7.400090626961247"/>
    <n v="0.69575536762529511"/>
    <n v="38.474886173984181"/>
    <n v="529.56355999999994"/>
    <n v="0.51671939058646721"/>
    <n v="4.6064434246972333E-2"/>
    <n v="4184.2105263157891"/>
    <n v="7172.7999999999984"/>
    <n v="5940.2826600000026"/>
    <n v="4.6064434246972333E-2"/>
    <n v="27117.875647668396"/>
    <n v="11357.010526315788"/>
    <s v="Julliano"/>
    <s v="Julliano"/>
    <x v="3"/>
  </r>
  <r>
    <x v="17"/>
    <x v="1"/>
    <x v="18"/>
    <n v="0.50426332587052813"/>
    <n v="4.1985999999999999"/>
    <n v="0"/>
    <n v="4.1985999999999999"/>
    <n v="3.8599835790182704"/>
    <n v="2.1171999999999995"/>
    <n v="1.0233160621761659"/>
    <n v="0.45789473684210524"/>
    <n v="0.26157278"/>
    <n v="0"/>
    <n v="2.5899999999999999E-2"/>
    <n v="3.6400000000000002E-2"/>
    <n v="0.3386164209817295"/>
    <n v="8.0649840656821209E-2"/>
    <n v="0"/>
    <n v="0"/>
    <x v="0"/>
    <n v="2"/>
    <n v="0"/>
    <n v="3.4173637982830649"/>
    <n v="1.7086818991415325"/>
    <n v="0.56656332587052816"/>
    <n v="1.481210799018271"/>
    <n v="529.56355999999994"/>
    <n v="7.9284156183254007E-3"/>
    <n v="7.0680138308435272E-4"/>
    <n v="157.89473684210526"/>
    <n v="300"/>
    <n v="5940.2826600000026"/>
    <n v="7.0680138308435272E-4"/>
    <n v="1023.3160621761658"/>
    <n v="457.89473684210526"/>
    <s v="Julliano"/>
    <s v="Julliano"/>
    <x v="3"/>
  </r>
  <r>
    <x v="46"/>
    <x v="1"/>
    <x v="52"/>
    <n v="0.58863442919459519"/>
    <n v="37.595999999999997"/>
    <n v="1.18"/>
    <n v="36.415999999999997"/>
    <n v="30.053341599018268"/>
    <n v="22.130299999999998"/>
    <n v="1.0233160621761659"/>
    <n v="0.79789473684210521"/>
    <n v="6.1018307999999992"/>
    <n v="0.1"/>
    <n v="2.5899999999999999E-2"/>
    <n v="3.6400000000000002E-2"/>
    <n v="6.3626584009817293"/>
    <n v="0.17472150705683573"/>
    <n v="0.69458862644962227"/>
    <n v="3.1386317693371635E-2"/>
    <x v="0"/>
    <n v="2"/>
    <n v="3.7595999999999998"/>
    <n v="12.04988224311067"/>
    <n v="6.0249411215553348"/>
    <n v="0.75093442919459519"/>
    <n v="1.8212107990182711"/>
    <n v="529.56355999999994"/>
    <n v="7.0994310862325952E-2"/>
    <n v="6.3289917587861016E-3"/>
    <n v="157.89473684210526"/>
    <n v="640"/>
    <n v="5940.2826600000026"/>
    <n v="6.3289917587861016E-3"/>
    <n v="1023.3160621761658"/>
    <n v="797.8947368421052"/>
    <s v="Julliano"/>
    <s v="Julliano"/>
    <x v="3"/>
  </r>
  <r>
    <x v="21"/>
    <x v="2"/>
    <x v="22"/>
    <n v="0.45671615884797478"/>
    <n v="1190.6977000000004"/>
    <n v="3.4743600000000003"/>
    <n v="1187.2233400000005"/>
    <n v="760.3978264209311"/>
    <n v="543.81087989311845"/>
    <n v="17.9080310880829"/>
    <n v="41.149609729729725"/>
    <n v="157.52930571000007"/>
    <n v="7.0000000000000007E-2"/>
    <n v="2.5899999999999999E-2"/>
    <n v="3.6400000000000002E-2"/>
    <n v="426.82551357906937"/>
    <n v="0.3595157702838534"/>
    <n v="1.5867963536550498"/>
    <n v="2.9179194685603231E-3"/>
    <x v="0"/>
    <n v="35"/>
    <n v="83.348839000000041"/>
    <n v="152.1519693877251"/>
    <n v="4.3471991253635744"/>
    <n v="0.58901615884797476"/>
    <n v="59.057640817812626"/>
    <n v="3079.4586999999997"/>
    <n v="0.38665811624620927"/>
    <n v="0.20044461991982043"/>
    <n v="4729.7297297297291"/>
    <n v="36419.879999999997"/>
    <n v="5940.2826600000026"/>
    <n v="0.20044461991982043"/>
    <n v="17908.031088082902"/>
    <n v="41149.609729729724"/>
    <s v="Leandro"/>
    <s v="Leandro"/>
    <x v="3"/>
  </r>
  <r>
    <x v="50"/>
    <x v="0"/>
    <x v="56"/>
    <n v="0.50670097983688278"/>
    <n v="11.29984"/>
    <n v="0"/>
    <n v="11.29984"/>
    <n v="7.0711481929582138"/>
    <n v="5.7256400000000012"/>
    <n v="0.51165803108808294"/>
    <n v="0.12987012987012986"/>
    <n v="0.70398003200000003"/>
    <n v="0"/>
    <n v="2.5899999999999999E-2"/>
    <n v="3.6400000000000002E-2"/>
    <n v="4.2286918070417858"/>
    <n v="0.37422581267007193"/>
    <n v="0"/>
    <n v="0"/>
    <x v="0"/>
    <n v="1"/>
    <n v="0"/>
    <n v="1.4884677944637048"/>
    <n v="1.4884677944637048"/>
    <n v="0.5690009798368828"/>
    <n v="0.64152816095821286"/>
    <n v="341.6511099999999"/>
    <n v="3.307420836419938E-2"/>
    <n v="1.9022394466326616E-3"/>
    <n v="129.87012987012986"/>
    <n v="0"/>
    <n v="5940.2826600000026"/>
    <n v="1.9022394466326616E-3"/>
    <n v="511.65803108808291"/>
    <n v="129.87012987012986"/>
    <s v="Luisa"/>
    <s v="Luisa"/>
    <x v="3"/>
  </r>
  <r>
    <x v="25"/>
    <x v="2"/>
    <x v="26"/>
    <n v="0.59112156180432096"/>
    <n v="927.8703999999999"/>
    <n v="194.89102000000003"/>
    <n v="732.97937999999988"/>
    <n v="743.77755256892874"/>
    <n v="548.48419999999999"/>
    <n v="20.466321243523314"/>
    <n v="24.233665405405407"/>
    <n v="150.59336592"/>
    <n v="0.1"/>
    <n v="2.5899999999999999E-2"/>
    <n v="3.6400000000000002E-2"/>
    <n v="-10.798172568928862"/>
    <n v="-1.4731891324049068E-2"/>
    <n v="115.20428412403717"/>
    <n v="0.21004120834116494"/>
    <x v="0"/>
    <n v="40"/>
    <n v="92.78703999999999"/>
    <n v="971.66243894689114"/>
    <n v="24.291560973672279"/>
    <n v="0.75342156180432096"/>
    <n v="44.699986648928721"/>
    <n v="3079.4586999999997"/>
    <n v="0.30130957755660109"/>
    <n v="0.15619970515005754"/>
    <n v="5405.405405405405"/>
    <n v="18828.260000000002"/>
    <n v="5940.2826600000026"/>
    <n v="0.15619970515005754"/>
    <n v="20466.321243523314"/>
    <n v="24233.665405405409"/>
    <s v="Leandro"/>
    <s v="Leandro"/>
    <x v="3"/>
  </r>
  <r>
    <x v="19"/>
    <x v="2"/>
    <x v="20"/>
    <n v="0.49766863731362776"/>
    <n v="147.48455999999999"/>
    <n v="38.696179999999998"/>
    <n v="108.78837999999999"/>
    <n v="133.7786205058126"/>
    <n v="73.398439999999965"/>
    <n v="17.9080310880829"/>
    <n v="17.060559729729729"/>
    <n v="25.411589687999999"/>
    <n v="0.11"/>
    <n v="2.5899999999999999E-2"/>
    <n v="3.6400000000000002E-2"/>
    <n v="-24.990240505812608"/>
    <n v="-0.2297142443504776"/>
    <n v="19.257875169842855"/>
    <n v="0.262374447874408"/>
    <x v="0"/>
    <n v="35"/>
    <n v="16.223301599999999"/>
    <n v="223.20536514529994"/>
    <n v="6.3772961470085692"/>
    <n v="0.66996863731362777"/>
    <n v="34.968590817812625"/>
    <n v="3079.4586999999997"/>
    <n v="4.7893014444389204E-2"/>
    <n v="2.4827869049584912E-2"/>
    <n v="4729.7297297297291"/>
    <n v="12330.83"/>
    <n v="5940.2826600000026"/>
    <n v="2.4827869049584912E-2"/>
    <n v="17908.031088082902"/>
    <n v="17060.559729729728"/>
    <s v="Leandro"/>
    <s v="Leandro"/>
    <x v="3"/>
  </r>
  <r>
    <x v="20"/>
    <x v="2"/>
    <x v="21"/>
    <n v="0.55636440356133166"/>
    <n v="473.98"/>
    <n v="74.146100000000004"/>
    <n v="399.83390000000003"/>
    <n v="343.23270365691076"/>
    <n v="263.7056"/>
    <n v="11.256476683937825"/>
    <n v="7.9329729729729737"/>
    <n v="60.337654000000015"/>
    <n v="6.5000000000000002E-2"/>
    <n v="2.5899999999999999E-2"/>
    <n v="3.6400000000000002E-2"/>
    <n v="56.601196343089271"/>
    <n v="0.14156177438453635"/>
    <n v="41.252250702898856"/>
    <n v="0.15643297185535254"/>
    <x v="0"/>
    <n v="22"/>
    <n v="30.808700000000002"/>
    <n v="295.05231376958511"/>
    <n v="13.411468807708415"/>
    <n v="0.68366440356133173"/>
    <n v="19.189449656910799"/>
    <n v="3079.4586999999997"/>
    <n v="0.15391666074300658"/>
    <n v="7.9790815880131843E-2"/>
    <n v="2972.9729729729729"/>
    <n v="4960"/>
    <n v="5940.2826600000026"/>
    <n v="7.9790815880131843E-2"/>
    <n v="11256.476683937824"/>
    <n v="7932.9729729729734"/>
    <s v="Leandro"/>
    <s v="Leandro"/>
    <x v="3"/>
  </r>
  <r>
    <x v="55"/>
    <x v="2"/>
    <x v="63"/>
    <n v="0"/>
    <n v="0"/>
    <n v="0"/>
    <n v="0"/>
    <n v="0"/>
    <n v="0"/>
    <n v="0"/>
    <n v="0"/>
    <n v="0"/>
    <n v="0"/>
    <n v="2.5899999999999999E-2"/>
    <n v="3.6400000000000002E-2"/>
    <n v="0"/>
    <n v="0"/>
    <n v="0"/>
    <n v="0"/>
    <x v="0"/>
    <n v="0"/>
    <n v="0"/>
    <n v="0"/>
    <n v="0"/>
    <n v="6.2300000000000001E-2"/>
    <n v="0"/>
    <n v="3079.4586999999997"/>
    <n v="0"/>
    <n v="0"/>
    <n v="0"/>
    <n v="0"/>
    <n v="5940.2826600000026"/>
    <n v="0"/>
    <n v="0"/>
    <n v="0"/>
    <s v="Leandro"/>
    <s v="Leandro"/>
    <x v="3"/>
  </r>
  <r>
    <x v="22"/>
    <x v="2"/>
    <x v="23"/>
    <n v="0.53059510288174538"/>
    <n v="75.718000000000004"/>
    <n v="24.477499999999999"/>
    <n v="51.240500000000004"/>
    <n v="73.197280555580448"/>
    <n v="40.175599999999996"/>
    <n v="12.791450777202073"/>
    <n v="8.6983783783783775"/>
    <n v="11.531851399999999"/>
    <n v="0.09"/>
    <n v="2.5899999999999999E-2"/>
    <n v="3.6400000000000002E-2"/>
    <n v="-21.956780555580444"/>
    <n v="-0.42850441653731797"/>
    <n v="12.987641630787921"/>
    <n v="0.32327187722866424"/>
    <x v="0"/>
    <n v="25"/>
    <n v="6.8146199999999997"/>
    <n v="144.95937960377299"/>
    <n v="5.7983751841509195"/>
    <n v="0.68289510288174538"/>
    <n v="21.489829155580452"/>
    <n v="3079.4586999999997"/>
    <n v="2.4588087510314723E-2"/>
    <n v="1.2746531492492981E-2"/>
    <n v="3378.3783783783783"/>
    <n v="5320"/>
    <n v="5940.2826600000026"/>
    <n v="1.2746531492492981E-2"/>
    <n v="12791.450777202073"/>
    <n v="8698.3783783783783"/>
    <s v="Leandro"/>
    <s v="Leandro"/>
    <x v="3"/>
  </r>
  <r>
    <x v="23"/>
    <x v="2"/>
    <x v="24"/>
    <n v="0.55678806911712986"/>
    <n v="49.254359999999998"/>
    <n v="7.5393800000000004"/>
    <n v="41.714979999999997"/>
    <n v="41.223436290232179"/>
    <n v="27.424239999999994"/>
    <n v="5.1165803108808285"/>
    <n v="3.1513513513513511"/>
    <n v="5.5312646279999997"/>
    <n v="0.05"/>
    <n v="2.5899999999999999E-2"/>
    <n v="3.6400000000000002E-2"/>
    <n v="0.49154370976781792"/>
    <n v="1.1783385962736119E-2"/>
    <n v="4.1978368325403066"/>
    <n v="0.15307030687232562"/>
    <x v="0"/>
    <n v="10"/>
    <n v="2.4627180000000002"/>
    <n v="47.768938460630324"/>
    <n v="4.7768938460630324"/>
    <n v="0.66908806911712981"/>
    <n v="8.2679316622321792"/>
    <n v="3079.4586999999997"/>
    <n v="1.5994486303713053E-2"/>
    <n v="8.2915852357773115E-3"/>
    <n v="1351.3513513513512"/>
    <n v="1800"/>
    <n v="5940.2826600000026"/>
    <n v="8.2915852357773115E-3"/>
    <n v="5116.5803108808286"/>
    <n v="3151.3513513513512"/>
    <s v="Leandro"/>
    <s v="Leandro"/>
    <x v="3"/>
  </r>
  <r>
    <x v="24"/>
    <x v="2"/>
    <x v="25"/>
    <n v="0.59057209299082358"/>
    <n v="179.74847999999997"/>
    <n v="31.048299999999998"/>
    <n v="148.70017999999999"/>
    <n v="145.1274369415371"/>
    <n v="106.15443604551918"/>
    <n v="9.2098445595854912"/>
    <n v="5.9824324324324323"/>
    <n v="23.780723904000002"/>
    <n v="7.0000000000000007E-2"/>
    <n v="2.5899999999999999E-2"/>
    <n v="3.6400000000000002E-2"/>
    <n v="3.5727430584628905"/>
    <n v="2.4026487785441086E-2"/>
    <n v="18.336259514806986"/>
    <n v="0.17273191962457765"/>
    <x v="0"/>
    <n v="18"/>
    <n v="12.5823936"/>
    <n v="166.85644362221086"/>
    <n v="9.2698024234561593"/>
    <n v="0.72287209299082367"/>
    <n v="15.192276992017923"/>
    <n v="3079.4586999999997"/>
    <n v="5.8370154469030544E-2"/>
    <n v="3.0259246956440267E-2"/>
    <n v="2432.4324324324325"/>
    <n v="3550"/>
    <n v="5940.2826600000026"/>
    <n v="3.0259246956440267E-2"/>
    <n v="9209.8445595854919"/>
    <n v="5982.4324324324325"/>
    <s v="Leandro"/>
    <s v="Leandro"/>
    <x v="3"/>
  </r>
  <r>
    <x v="57"/>
    <x v="0"/>
    <x v="55"/>
    <n v="0"/>
    <n v="0"/>
    <n v="0"/>
    <n v="0"/>
    <n v="1.2830563219164257"/>
    <n v="0"/>
    <n v="1.0233160621761659"/>
    <n v="0.25974025974025972"/>
    <n v="0"/>
    <n v="0"/>
    <n v="2.5899999999999999E-2"/>
    <n v="3.6400000000000002E-2"/>
    <n v="-1.2830563219164257"/>
    <n v="0"/>
    <n v="0"/>
    <n v="0"/>
    <x v="0"/>
    <n v="2"/>
    <n v="0"/>
    <n v="1.3683015057229666"/>
    <n v="0.6841507528614833"/>
    <n v="6.2300000000000001E-2"/>
    <n v="1.2830563219164257"/>
    <n v="341.6511099999999"/>
    <n v="0"/>
    <n v="0"/>
    <n v="259.74025974025972"/>
    <n v="0"/>
    <n v="5940.2826600000026"/>
    <n v="0"/>
    <n v="1023.3160621761658"/>
    <n v="259.74025974025972"/>
    <s v="Luisa"/>
    <s v="Luisa"/>
    <x v="3"/>
  </r>
  <r>
    <x v="48"/>
    <x v="0"/>
    <x v="54"/>
    <n v="0"/>
    <n v="0"/>
    <n v="0"/>
    <n v="0"/>
    <n v="0"/>
    <n v="0"/>
    <n v="0"/>
    <n v="0"/>
    <n v="0"/>
    <n v="0"/>
    <n v="2.5899999999999999E-2"/>
    <n v="3.6400000000000002E-2"/>
    <n v="0"/>
    <n v="0"/>
    <n v="0"/>
    <n v="0"/>
    <x v="0"/>
    <n v="0"/>
    <n v="0"/>
    <n v="0"/>
    <n v="0"/>
    <n v="6.2300000000000001E-2"/>
    <n v="0"/>
    <n v="341.6511099999999"/>
    <n v="0"/>
    <n v="0"/>
    <n v="0"/>
    <n v="0"/>
    <n v="5940.2826600000026"/>
    <n v="0"/>
    <n v="0"/>
    <n v="0"/>
    <s v="Luisa"/>
    <s v="Luisa"/>
    <x v="3"/>
  </r>
  <r>
    <x v="58"/>
    <x v="0"/>
    <x v="7"/>
    <n v="0.50626602547600164"/>
    <n v="1.9422199999999996"/>
    <n v="0"/>
    <n v="1.9422199999999996"/>
    <n v="1.9458084669582125"/>
    <n v="0.98327999999999971"/>
    <n v="0.51165803108808294"/>
    <n v="0.32987012987012987"/>
    <n v="0.12100030599999997"/>
    <n v="0"/>
    <n v="2.5899999999999999E-2"/>
    <n v="3.6400000000000002E-2"/>
    <n v="-3.5884669582129103E-3"/>
    <n v="-1.847610959733146E-3"/>
    <n v="0"/>
    <n v="0"/>
    <x v="0"/>
    <n v="1"/>
    <n v="0"/>
    <n v="1.9505375344782987"/>
    <n v="1.9505375344782987"/>
    <n v="0.56856602547600166"/>
    <n v="0.84152816095821281"/>
    <n v="341.6511099999999"/>
    <n v="5.6848051803490415E-3"/>
    <n v="3.269575054194473E-4"/>
    <n v="129.87012987012986"/>
    <n v="200"/>
    <n v="5940.2826600000026"/>
    <n v="3.269575054194473E-4"/>
    <n v="511.65803108808291"/>
    <n v="329.87012987012986"/>
    <s v="Luisa"/>
    <s v="Luisa"/>
    <x v="3"/>
  </r>
  <r>
    <x v="5"/>
    <x v="0"/>
    <x v="5"/>
    <n v="0"/>
    <n v="0"/>
    <n v="0"/>
    <n v="0"/>
    <n v="0"/>
    <n v="0"/>
    <n v="0"/>
    <n v="0"/>
    <n v="0"/>
    <n v="0"/>
    <n v="2.5899999999999999E-2"/>
    <n v="3.6400000000000002E-2"/>
    <n v="0"/>
    <n v="0"/>
    <n v="0"/>
    <n v="0"/>
    <x v="0"/>
    <n v="0"/>
    <n v="0"/>
    <n v="0"/>
    <n v="0"/>
    <n v="6.2300000000000001E-2"/>
    <n v="0"/>
    <n v="341.6511099999999"/>
    <n v="0"/>
    <n v="0"/>
    <n v="0"/>
    <n v="0"/>
    <n v="5940.2826600000026"/>
    <n v="0"/>
    <n v="0"/>
    <n v="0"/>
    <s v="Luisa"/>
    <s v="Luisa"/>
    <x v="3"/>
  </r>
  <r>
    <x v="13"/>
    <x v="0"/>
    <x v="14"/>
    <n v="0.51575214564729488"/>
    <n v="9.3876100000000005"/>
    <n v="5.4890000000000008E-2"/>
    <n v="9.3327200000000001"/>
    <n v="6.1769962639582143"/>
    <n v="4.841680000000002"/>
    <n v="0.51165803108808294"/>
    <n v="0.23881012987012987"/>
    <n v="0.58484810300000001"/>
    <n v="0"/>
    <n v="2.5899999999999999E-2"/>
    <n v="3.6400000000000002E-2"/>
    <n v="3.1557237360417858"/>
    <n v="0.33813547776444441"/>
    <n v="2.8309635274580022E-2"/>
    <n v="5.8470686362130514E-3"/>
    <x v="0"/>
    <n v="1"/>
    <n v="0"/>
    <n v="1.9086675110451352"/>
    <n v="1.9086675110451352"/>
    <n v="0.5780521456472949"/>
    <n v="0.75046816095821278"/>
    <n v="341.6511099999999"/>
    <n v="2.7477182790361789E-2"/>
    <n v="1.5803305225209597E-3"/>
    <n v="129.87012987012986"/>
    <n v="108.94"/>
    <n v="5940.2826600000026"/>
    <n v="1.5803305225209597E-3"/>
    <n v="511.65803108808291"/>
    <n v="238.81012987012986"/>
    <s v="Luisa"/>
    <s v="Luisa"/>
    <x v="3"/>
  </r>
  <r>
    <x v="58"/>
    <x v="0"/>
    <x v="8"/>
    <n v="0.52217404054754157"/>
    <n v="47.330119999999987"/>
    <n v="19.600279999999998"/>
    <n v="27.729839999999989"/>
    <n v="31.029319119832852"/>
    <n v="24.714560000000002"/>
    <n v="2.0466321243523318"/>
    <n v="1.3194605194805193"/>
    <n v="2.9486664759999992"/>
    <n v="0"/>
    <n v="2.5899999999999999E-2"/>
    <n v="3.6400000000000002E-2"/>
    <n v="-3.2994791198328635"/>
    <n v="-0.11898659061259872"/>
    <n v="10.234757403463167"/>
    <n v="0.41411853593441139"/>
    <x v="0"/>
    <n v="4"/>
    <n v="0"/>
    <n v="55.270608541752253"/>
    <n v="13.817652135438063"/>
    <n v="0.5844740405475416"/>
    <n v="3.3660926438328511"/>
    <n v="341.6511099999999"/>
    <n v="0.13853348815404112"/>
    <n v="7.9676545223523031E-3"/>
    <n v="519.48051948051943"/>
    <n v="799.98"/>
    <n v="5940.2826600000026"/>
    <n v="7.9676545223523031E-3"/>
    <n v="2046.6321243523316"/>
    <n v="1319.4605194805195"/>
    <s v="Luisa"/>
    <s v="Luisa"/>
    <x v="3"/>
  </r>
  <r>
    <x v="0"/>
    <x v="0"/>
    <x v="0"/>
    <n v="0"/>
    <n v="0"/>
    <n v="0.51300000000000001"/>
    <n v="-0.51300000000000001"/>
    <n v="6.5090534486239147"/>
    <n v="0"/>
    <n v="4.6049222797927456"/>
    <n v="1.9041311688311688"/>
    <n v="0"/>
    <n v="7.0000000000000007E-2"/>
    <n v="2.5899999999999999E-2"/>
    <n v="3.6400000000000002E-2"/>
    <n v="-7.0220534486239146"/>
    <n v="13.688213350144082"/>
    <n v="0"/>
    <n v="0"/>
    <x v="0"/>
    <n v="9"/>
    <n v="0"/>
    <n v="8.0927203510705485"/>
    <n v="0.89919115011894979"/>
    <n v="0.13230000000000003"/>
    <n v="6.5090534486239147"/>
    <n v="341.6511099999999"/>
    <n v="0"/>
    <n v="0"/>
    <n v="1168.8311688311687"/>
    <n v="735.30000000000007"/>
    <n v="5940.2826600000026"/>
    <n v="0"/>
    <n v="4604.9222797927459"/>
    <n v="1904.1311688311689"/>
    <s v="Luisa"/>
    <s v="Luisa"/>
    <x v="3"/>
  </r>
  <r>
    <x v="1"/>
    <x v="0"/>
    <x v="1"/>
    <n v="0.5880121382629544"/>
    <n v="21.542999999999999"/>
    <n v="0"/>
    <n v="21.542999999999999"/>
    <n v="23.429339557218661"/>
    <n v="12.667545494598826"/>
    <n v="6.1398963730569953"/>
    <n v="3.2797687895628398"/>
    <n v="1.3421289000000001"/>
    <n v="0"/>
    <n v="2.5899999999999999E-2"/>
    <n v="3.6400000000000002E-2"/>
    <n v="-1.8863395572186619"/>
    <n v="-8.7561600390784103E-2"/>
    <n v="0"/>
    <n v="0"/>
    <x v="0"/>
    <n v="12"/>
    <n v="0"/>
    <n v="26.93735240287846"/>
    <n v="2.2447793669065383"/>
    <n v="0.65031213826295442"/>
    <n v="9.419665162619836"/>
    <n v="341.6511099999999"/>
    <n v="6.3055553953856633E-2"/>
    <n v="3.6265951021259971E-3"/>
    <n v="1558.4415584415583"/>
    <n v="1721.3272311212813"/>
    <n v="5940.2826600000026"/>
    <n v="3.6265951021259971E-3"/>
    <n v="6139.8963730569949"/>
    <n v="3279.7687895628396"/>
    <s v="Luisa"/>
    <s v="Luisa"/>
    <x v="3"/>
  </r>
  <r>
    <x v="6"/>
    <x v="0"/>
    <x v="6"/>
    <n v="0"/>
    <n v="0"/>
    <n v="0"/>
    <n v="0"/>
    <n v="12.245890575331405"/>
    <n v="0"/>
    <n v="8.1865284974093271"/>
    <n v="4.0593620779220769"/>
    <n v="0"/>
    <n v="0.03"/>
    <n v="2.5899999999999999E-2"/>
    <n v="3.6400000000000002E-2"/>
    <n v="-12.245890575331405"/>
    <n v="0"/>
    <n v="0"/>
    <n v="0"/>
    <x v="0"/>
    <n v="16"/>
    <n v="0"/>
    <n v="13.49112104806809"/>
    <n v="0.8431950655042556"/>
    <n v="9.2299999999999993E-2"/>
    <n v="12.245890575331405"/>
    <n v="341.6511099999999"/>
    <n v="0"/>
    <n v="0"/>
    <n v="2077.9220779220777"/>
    <n v="1981.4399999999996"/>
    <n v="5940.2826600000026"/>
    <n v="0"/>
    <n v="8186.5284974093265"/>
    <n v="4059.3620779220773"/>
    <s v="Luisa"/>
    <s v="Luisa"/>
    <x v="3"/>
  </r>
  <r>
    <x v="9"/>
    <x v="0"/>
    <x v="10"/>
    <n v="0"/>
    <n v="0"/>
    <n v="0"/>
    <n v="0"/>
    <n v="0"/>
    <n v="0"/>
    <n v="0"/>
    <n v="0"/>
    <n v="0"/>
    <n v="0"/>
    <n v="2.5899999999999999E-2"/>
    <n v="3.6400000000000002E-2"/>
    <n v="0"/>
    <n v="0"/>
    <n v="0"/>
    <n v="0"/>
    <x v="0"/>
    <n v="0"/>
    <n v="0"/>
    <n v="0"/>
    <n v="0"/>
    <n v="6.2300000000000001E-2"/>
    <n v="0"/>
    <n v="341.6511099999999"/>
    <n v="0"/>
    <n v="0"/>
    <n v="0"/>
    <n v="0"/>
    <n v="5940.2826600000026"/>
    <n v="0"/>
    <n v="0"/>
    <n v="0"/>
    <s v="Luisa"/>
    <s v="Luisa"/>
    <x v="3"/>
  </r>
  <r>
    <x v="14"/>
    <x v="0"/>
    <x v="15"/>
    <n v="0"/>
    <n v="0"/>
    <n v="0"/>
    <n v="0"/>
    <n v="3.6161408047910637"/>
    <n v="0"/>
    <n v="2.5582901554404143"/>
    <n v="1.0578506493506492"/>
    <n v="0"/>
    <n v="0"/>
    <n v="2.5899999999999999E-2"/>
    <n v="3.6400000000000002E-2"/>
    <n v="-3.6161408047910637"/>
    <n v="0"/>
    <n v="0"/>
    <n v="0"/>
    <x v="0"/>
    <n v="5"/>
    <n v="0"/>
    <n v="3.856394161022783"/>
    <n v="0.77127883220455662"/>
    <n v="6.2300000000000001E-2"/>
    <n v="3.6161408047910637"/>
    <n v="341.6511099999999"/>
    <n v="0"/>
    <n v="0"/>
    <n v="649.35064935064929"/>
    <n v="408.5"/>
    <n v="5940.2826600000026"/>
    <n v="0"/>
    <n v="2558.2901554404143"/>
    <n v="1057.8506493506493"/>
    <s v="Luisa"/>
    <s v="Luisa"/>
    <x v="3"/>
  </r>
  <r>
    <x v="15"/>
    <x v="0"/>
    <x v="16"/>
    <n v="0.51089516877973473"/>
    <n v="64.04440000000001"/>
    <n v="0"/>
    <n v="64.04440000000001"/>
    <n v="47.760845595831917"/>
    <n v="32.719974547396845"/>
    <n v="5.6282383419689124"/>
    <n v="3.5013345864661649"/>
    <n v="5.9112981200000005"/>
    <n v="0.03"/>
    <n v="2.5899999999999999E-2"/>
    <n v="3.6400000000000002E-2"/>
    <n v="16.283554404168093"/>
    <n v="0.25425414874943147"/>
    <n v="0"/>
    <n v="0"/>
    <x v="0"/>
    <n v="11"/>
    <n v="1.9213320000000003"/>
    <n v="23.00771616202243"/>
    <n v="2.0916105601838573"/>
    <n v="0.60319516877973478"/>
    <n v="9.1295729284350777"/>
    <n v="341.6511099999999"/>
    <n v="0.18745555956191692"/>
    <n v="1.0781372481019276E-2"/>
    <n v="1428.5714285714284"/>
    <n v="2072.7631578947367"/>
    <n v="5940.2826600000026"/>
    <n v="1.0781372481019276E-2"/>
    <n v="5628.2383419689122"/>
    <n v="3501.3345864661651"/>
    <s v="Luisa"/>
    <s v="Luisa"/>
    <x v="3"/>
  </r>
  <r>
    <x v="51"/>
    <x v="0"/>
    <x v="58"/>
    <n v="0"/>
    <n v="0"/>
    <n v="0"/>
    <n v="0"/>
    <n v="0.64152816095821286"/>
    <n v="0"/>
    <n v="0.51165803108808294"/>
    <n v="0.12987012987012986"/>
    <n v="0"/>
    <n v="0"/>
    <n v="2.5899999999999999E-2"/>
    <n v="3.6400000000000002E-2"/>
    <n v="-0.64152816095821286"/>
    <n v="0"/>
    <n v="0"/>
    <n v="0"/>
    <x v="0"/>
    <n v="1"/>
    <n v="0"/>
    <n v="0.6841507528614833"/>
    <n v="0.6841507528614833"/>
    <n v="6.2300000000000001E-2"/>
    <n v="0.64152816095821286"/>
    <n v="341.6511099999999"/>
    <n v="0"/>
    <n v="0"/>
    <n v="129.87012987012986"/>
    <n v="0"/>
    <n v="5940.2826600000026"/>
    <n v="0"/>
    <n v="511.65803108808291"/>
    <n v="129.87012987012986"/>
    <s v="Luisa"/>
    <s v="Luisa"/>
    <x v="3"/>
  </r>
  <r>
    <x v="18"/>
    <x v="0"/>
    <x v="19"/>
    <n v="0"/>
    <n v="0"/>
    <n v="0"/>
    <n v="0"/>
    <n v="3.9076408047910638"/>
    <n v="0"/>
    <n v="2.5582901554404143"/>
    <n v="1.3493506493506493"/>
    <n v="0"/>
    <n v="0"/>
    <n v="2.5899999999999999E-2"/>
    <n v="3.6400000000000002E-2"/>
    <n v="-3.9076408047910638"/>
    <n v="0"/>
    <n v="0"/>
    <n v="0"/>
    <x v="0"/>
    <n v="5"/>
    <n v="0"/>
    <n v="4.1672611760595757"/>
    <n v="0.83345223521191514"/>
    <n v="6.2300000000000001E-2"/>
    <n v="3.9076408047910638"/>
    <n v="341.6511099999999"/>
    <n v="0"/>
    <n v="0"/>
    <n v="649.35064935064929"/>
    <n v="700"/>
    <n v="5940.2826600000026"/>
    <n v="0"/>
    <n v="2558.2901554404143"/>
    <n v="1349.3506493506493"/>
    <s v="Luisa"/>
    <s v="Luisa"/>
    <x v="3"/>
  </r>
  <r>
    <x v="2"/>
    <x v="0"/>
    <x v="2"/>
    <n v="0"/>
    <n v="0"/>
    <n v="7.9130000000000003"/>
    <n v="-7.9130000000000003"/>
    <n v="1.5330563219164257"/>
    <n v="0"/>
    <n v="1.0233160621761659"/>
    <n v="0.50974025974025972"/>
    <n v="0"/>
    <n v="0"/>
    <n v="2.5899999999999999E-2"/>
    <n v="3.6400000000000002E-2"/>
    <n v="-9.4460563219164264"/>
    <n v="1.1937389513353249"/>
    <n v="0"/>
    <n v="0"/>
    <x v="0"/>
    <n v="2"/>
    <n v="0"/>
    <n v="10.073644365912793"/>
    <n v="5.0368221829563966"/>
    <n v="6.2300000000000001E-2"/>
    <n v="1.5330563219164257"/>
    <n v="341.6511099999999"/>
    <n v="0"/>
    <n v="0"/>
    <n v="259.74025974025972"/>
    <n v="250"/>
    <n v="5940.2826600000026"/>
    <n v="0"/>
    <n v="1023.3160621761658"/>
    <n v="509.74025974025972"/>
    <s v="Luisa"/>
    <s v="Luisa"/>
    <x v="3"/>
  </r>
  <r>
    <x v="3"/>
    <x v="0"/>
    <x v="3"/>
    <n v="0"/>
    <n v="0"/>
    <n v="0"/>
    <n v="0"/>
    <n v="0"/>
    <n v="0"/>
    <n v="0"/>
    <n v="0"/>
    <n v="0"/>
    <n v="0"/>
    <n v="2.5899999999999999E-2"/>
    <n v="3.6400000000000002E-2"/>
    <n v="0"/>
    <n v="0"/>
    <n v="0"/>
    <n v="0"/>
    <x v="0"/>
    <n v="0"/>
    <n v="0"/>
    <n v="0"/>
    <n v="0"/>
    <n v="6.2300000000000001E-2"/>
    <n v="0"/>
    <n v="341.6511099999999"/>
    <n v="0"/>
    <n v="0"/>
    <n v="0"/>
    <n v="0"/>
    <n v="5940.2826600000026"/>
    <n v="0"/>
    <n v="0"/>
    <n v="0"/>
    <s v="Luisa"/>
    <s v="Luisa"/>
    <x v="3"/>
  </r>
  <r>
    <x v="8"/>
    <x v="0"/>
    <x v="9"/>
    <n v="0.51757530287873732"/>
    <n v="14.395200000000001"/>
    <n v="0.20799999999999999"/>
    <n v="14.187200000000001"/>
    <n v="14.883686086707488"/>
    <n v="7.4505999999999997"/>
    <n v="3.5816062176165806"/>
    <n v="1.6590909090909089"/>
    <n v="2.1923889600000002"/>
    <n v="0.09"/>
    <n v="2.5899999999999999E-2"/>
    <n v="3.6400000000000002E-2"/>
    <n v="-0.69648608670748757"/>
    <n v="-4.9092568421357813E-2"/>
    <n v="0.10765566299877735"/>
    <n v="1.4449260864732687E-2"/>
    <x v="0"/>
    <n v="7"/>
    <n v="1.2955680000000001"/>
    <n v="16.504966681441751"/>
    <n v="2.3578523830631073"/>
    <n v="0.66987530287873731"/>
    <n v="5.2406971267074898"/>
    <n v="341.6511099999999"/>
    <n v="4.2134211125495848E-2"/>
    <n v="2.4233190277177809E-3"/>
    <n v="909.09090909090901"/>
    <n v="750"/>
    <n v="5940.2826600000026"/>
    <n v="2.4233190277177809E-3"/>
    <n v="3581.6062176165806"/>
    <n v="1659.090909090909"/>
    <s v="Luisa"/>
    <s v="Luisa"/>
    <x v="3"/>
  </r>
  <r>
    <x v="11"/>
    <x v="0"/>
    <x v="12"/>
    <n v="0"/>
    <n v="0"/>
    <n v="0"/>
    <n v="0"/>
    <n v="0"/>
    <n v="0"/>
    <n v="0"/>
    <n v="0"/>
    <n v="0"/>
    <n v="0"/>
    <n v="2.5899999999999999E-2"/>
    <n v="3.6400000000000002E-2"/>
    <n v="0"/>
    <n v="0"/>
    <n v="0"/>
    <n v="0"/>
    <x v="0"/>
    <n v="0"/>
    <n v="0"/>
    <n v="0"/>
    <n v="0"/>
    <n v="6.2300000000000001E-2"/>
    <n v="0"/>
    <n v="341.6511099999999"/>
    <n v="0"/>
    <n v="0"/>
    <n v="0"/>
    <n v="0"/>
    <n v="5940.2826600000026"/>
    <n v="0"/>
    <n v="0"/>
    <n v="0"/>
    <s v="Luisa"/>
    <s v="Luisa"/>
    <x v="3"/>
  </r>
  <r>
    <x v="57"/>
    <x v="0"/>
    <x v="57"/>
    <n v="0"/>
    <n v="0"/>
    <n v="0"/>
    <n v="0"/>
    <n v="0"/>
    <n v="0"/>
    <n v="0"/>
    <n v="0"/>
    <n v="0"/>
    <n v="0"/>
    <n v="2.5899999999999999E-2"/>
    <n v="3.6400000000000002E-2"/>
    <n v="0"/>
    <n v="0"/>
    <n v="0"/>
    <n v="0"/>
    <x v="0"/>
    <n v="0"/>
    <n v="0"/>
    <n v="0"/>
    <n v="0"/>
    <n v="6.2300000000000001E-2"/>
    <n v="0"/>
    <n v="341.6511099999999"/>
    <n v="0"/>
    <n v="0"/>
    <n v="0"/>
    <n v="0"/>
    <n v="5940.2826600000026"/>
    <n v="0"/>
    <n v="0"/>
    <n v="0"/>
    <s v="Luisa"/>
    <s v="Luisa"/>
    <x v="3"/>
  </r>
  <r>
    <x v="26"/>
    <x v="0"/>
    <x v="27"/>
    <n v="0.62627512479116054"/>
    <n v="195.12599999999992"/>
    <n v="0"/>
    <n v="195.12599999999992"/>
    <n v="139.35890979999994"/>
    <n v="122.20255999999995"/>
    <n v="5"/>
    <n v="0"/>
    <n v="12.156349799999996"/>
    <n v="0"/>
    <n v="2.5899999999999999E-2"/>
    <n v="3.6400000000000002E-2"/>
    <n v="55.767090199999984"/>
    <n v="0.2858004069165565"/>
    <n v="0"/>
    <n v="0"/>
    <x v="0"/>
    <n v="0"/>
    <n v="0"/>
    <n v="16.055236424665928"/>
    <n v="16.055236424665928"/>
    <n v="0.68857512479116056"/>
    <n v="5"/>
    <n v="341.6511099999999"/>
    <n v="0.57112649216916045"/>
    <n v="3.2847931852454951E-2"/>
    <n v="0"/>
    <n v="0"/>
    <n v="5940.2826600000026"/>
    <n v="3.2847931852454951E-2"/>
    <n v="0"/>
    <n v="0"/>
    <s v="Luisa"/>
    <s v="Luisa"/>
    <x v="3"/>
  </r>
  <r>
    <x v="37"/>
    <x v="3"/>
    <x v="40"/>
    <n v="0.56882424242424245"/>
    <n v="73.7"/>
    <n v="0"/>
    <n v="73.7"/>
    <n v="72.143379616370964"/>
    <n v="41.92234666666667"/>
    <n v="13.303108808290155"/>
    <n v="8.6414141414141419"/>
    <n v="8.27651"/>
    <n v="0.05"/>
    <n v="2.5899999999999999E-2"/>
    <n v="3.6400000000000002E-2"/>
    <n v="1.5566203836290384"/>
    <n v="2.1121036412877048E-2"/>
    <n v="0"/>
    <n v="0"/>
    <x v="0"/>
    <n v="26"/>
    <n v="3.6850000000000005"/>
    <n v="68.818411021699504"/>
    <n v="2.646861962373058"/>
    <n v="0.68112424242424241"/>
    <n v="21.944522949704297"/>
    <n v="1989.6092900000001"/>
    <n v="3.7042448670914677E-2"/>
    <n v="1.2406817018367267E-2"/>
    <n v="1641.4141414141413"/>
    <n v="7000"/>
    <n v="5940.2826600000026"/>
    <n v="1.2406817018367267E-2"/>
    <n v="13303.108808290155"/>
    <n v="8641.4141414141413"/>
    <s v="Luiz"/>
    <s v="Luiz"/>
    <x v="3"/>
  </r>
  <r>
    <x v="41"/>
    <x v="3"/>
    <x v="46"/>
    <n v="0.53184017945963458"/>
    <n v="130.88180000000003"/>
    <n v="0"/>
    <n v="130.88180000000003"/>
    <n v="103.95159171282671"/>
    <n v="69.608200000000011"/>
    <n v="11.256476683937825"/>
    <n v="8.3888888888888893"/>
    <n v="14.698026140000003"/>
    <n v="0.05"/>
    <n v="2.5899999999999999E-2"/>
    <n v="3.6400000000000002E-2"/>
    <n v="26.930208287173315"/>
    <n v="0.20575976405560825"/>
    <n v="0"/>
    <n v="0"/>
    <x v="0"/>
    <n v="22"/>
    <n v="6.5440900000000015"/>
    <n v="55.205348957338451"/>
    <n v="2.5093340435153841"/>
    <n v="0.64414017945963453"/>
    <n v="19.645365572826712"/>
    <n v="1989.6092900000001"/>
    <n v="6.5782664293852391E-2"/>
    <n v="2.2032924608338413E-2"/>
    <n v="1388.8888888888889"/>
    <n v="7000"/>
    <n v="5940.2826600000026"/>
    <n v="2.2032924608338413E-2"/>
    <n v="11256.476683937824"/>
    <n v="8388.8888888888887"/>
    <s v="Luiz"/>
    <s v="Luiz"/>
    <x v="3"/>
  </r>
  <r>
    <x v="27"/>
    <x v="3"/>
    <x v="28"/>
    <n v="0"/>
    <n v="0"/>
    <n v="0.22331999999999999"/>
    <n v="-0.22331999999999999"/>
    <n v="3.0991573768775842"/>
    <n v="0"/>
    <n v="2.0466321243523318"/>
    <n v="1.0525252525252524"/>
    <n v="0"/>
    <n v="0"/>
    <n v="2.5899999999999999E-2"/>
    <n v="3.6400000000000002E-2"/>
    <n v="-3.3224773768775844"/>
    <n v="14.877652592143939"/>
    <n v="0"/>
    <n v="0"/>
    <x v="0"/>
    <n v="4"/>
    <n v="0"/>
    <n v="3.5432199817399854"/>
    <n v="0.88580499543499636"/>
    <n v="6.2300000000000001E-2"/>
    <n v="3.0991573768775842"/>
    <n v="1989.6092900000001"/>
    <n v="0"/>
    <n v="0"/>
    <n v="252.52525252525251"/>
    <n v="800"/>
    <n v="5940.2826600000026"/>
    <n v="0"/>
    <n v="2046.6321243523316"/>
    <n v="1052.5252525252524"/>
    <s v="Luiz"/>
    <s v="Luiz"/>
    <x v="3"/>
  </r>
  <r>
    <x v="34"/>
    <x v="3"/>
    <x v="37"/>
    <n v="0.53892328817452739"/>
    <n v="170.35028000000011"/>
    <n v="0"/>
    <n v="170.35028000000011"/>
    <n v="121.47527207900062"/>
    <n v="91.805733039051489"/>
    <n v="9.2098445595854912"/>
    <n v="4.7363636363636363"/>
    <n v="15.723330844000008"/>
    <n v="0.03"/>
    <n v="2.5899999999999999E-2"/>
    <n v="3.6400000000000002E-2"/>
    <n v="48.875007920999494"/>
    <n v="0.28690887928684039"/>
    <n v="0"/>
    <n v="0"/>
    <x v="0"/>
    <n v="18"/>
    <n v="5.1105084000000032"/>
    <n v="37.817486160973516"/>
    <n v="2.1009714533874178"/>
    <n v="0.63122328817452744"/>
    <n v="13.946208195949128"/>
    <n v="1989.6092900000001"/>
    <n v="8.5619966119076629E-2"/>
    <n v="2.867713369046988E-2"/>
    <n v="1136.3636363636363"/>
    <n v="3600"/>
    <n v="5940.2826600000026"/>
    <n v="2.867713369046988E-2"/>
    <n v="9209.8445595854919"/>
    <n v="4736.363636363636"/>
    <s v="Luiz"/>
    <s v="Luiz"/>
    <x v="3"/>
  </r>
  <r>
    <x v="43"/>
    <x v="3"/>
    <x v="49"/>
    <n v="0"/>
    <n v="0"/>
    <n v="0"/>
    <n v="0"/>
    <n v="9.8739467210969796"/>
    <n v="0"/>
    <n v="2.5582901554404143"/>
    <n v="7.3156565656565657"/>
    <n v="0"/>
    <n v="0"/>
    <n v="2.5899999999999999E-2"/>
    <n v="3.6400000000000002E-2"/>
    <n v="-9.8739467210969796"/>
    <n v="0"/>
    <n v="0"/>
    <n v="0"/>
    <x v="0"/>
    <n v="5"/>
    <n v="0"/>
    <n v="10.52996344363547"/>
    <n v="2.1059926887270941"/>
    <n v="6.2300000000000001E-2"/>
    <n v="9.8739467210969796"/>
    <n v="1989.6092900000001"/>
    <n v="0"/>
    <n v="0"/>
    <n v="315.65656565656565"/>
    <n v="7000"/>
    <n v="5940.2826600000026"/>
    <n v="0"/>
    <n v="2558.2901554404143"/>
    <n v="7315.6565656565654"/>
    <s v="Luiz"/>
    <s v="Luiz"/>
    <x v="3"/>
  </r>
  <r>
    <x v="32"/>
    <x v="3"/>
    <x v="34"/>
    <n v="0.57921348314606746"/>
    <n v="96.12"/>
    <n v="16.203990000000001"/>
    <n v="79.91601"/>
    <n v="71.113980097974576"/>
    <n v="55.674000000000007"/>
    <n v="4.6049222797927456"/>
    <n v="1.9631818181818179"/>
    <n v="8.8718760000000003"/>
    <n v="0.03"/>
    <n v="2.5899999999999999E-2"/>
    <n v="3.6400000000000002E-2"/>
    <n v="8.8020299020254242"/>
    <n v="0.11014100806616127"/>
    <n v="9.3855694887640464"/>
    <n v="0.16858083645443198"/>
    <x v="0"/>
    <n v="9"/>
    <n v="2.8835999999999999"/>
    <n v="69.324288607256847"/>
    <n v="7.7026987341396493"/>
    <n v="0.6715134831460674"/>
    <n v="6.5681040979745635"/>
    <n v="1989.6092900000001"/>
    <n v="4.8310992757779093E-2"/>
    <n v="1.6181048192747103E-2"/>
    <n v="568.18181818181813"/>
    <n v="1395"/>
    <n v="5940.2826600000026"/>
    <n v="1.6181048192747103E-2"/>
    <n v="4604.9222797927459"/>
    <n v="1963.181818181818"/>
    <s v="Luiz"/>
    <s v="Luiz"/>
    <x v="3"/>
  </r>
  <r>
    <x v="59"/>
    <x v="3"/>
    <x v="29"/>
    <n v="0"/>
    <n v="0"/>
    <n v="5"/>
    <n v="-5"/>
    <n v="0.74144934421939612"/>
    <n v="0"/>
    <n v="0.51165803108808294"/>
    <n v="0.22979131313131312"/>
    <n v="0"/>
    <n v="0"/>
    <n v="2.5899999999999999E-2"/>
    <n v="3.6400000000000002E-2"/>
    <n v="-5.7414493442193963"/>
    <n v="1.1482898688438792"/>
    <n v="0"/>
    <n v="0"/>
    <x v="0"/>
    <n v="1"/>
    <n v="0"/>
    <n v="6.122906413799079"/>
    <n v="6.122906413799079"/>
    <n v="6.2300000000000001E-2"/>
    <n v="0.74144934421939612"/>
    <n v="1989.6092900000001"/>
    <n v="0"/>
    <n v="0"/>
    <n v="63.131313131313128"/>
    <n v="166.66"/>
    <n v="5940.2826600000026"/>
    <n v="0"/>
    <n v="511.65803108808291"/>
    <n v="229.79131313131313"/>
    <s v="Luiz"/>
    <s v="Luiz"/>
    <x v="3"/>
  </r>
  <r>
    <x v="60"/>
    <x v="3"/>
    <x v="43"/>
    <n v="0.50310296376743491"/>
    <n v="36.610159999999993"/>
    <n v="1.7561500000000001"/>
    <n v="34.854009999999995"/>
    <n v="23.972165800658182"/>
    <n v="18.418679999999991"/>
    <n v="1.5349740932642488"/>
    <n v="0.6393939393939394"/>
    <n v="3.3791177679999991"/>
    <n v="0.03"/>
    <n v="2.5899999999999999E-2"/>
    <n v="3.6400000000000002E-2"/>
    <n v="10.881844199341813"/>
    <n v="0.31221211560281914"/>
    <n v="0.88352426982018084"/>
    <n v="4.7968924473424872E-2"/>
    <x v="0"/>
    <n v="3"/>
    <n v="1.0983047999999997"/>
    <n v="9.7146486026133445"/>
    <n v="3.2382162008711148"/>
    <n v="0.59540296376743496"/>
    <n v="2.1743680326581885"/>
    <n v="1989.6092900000001"/>
    <n v="1.8400678054735053E-2"/>
    <n v="6.1630333260942801E-3"/>
    <n v="189.39393939393938"/>
    <n v="450"/>
    <n v="5940.2826600000026"/>
    <n v="6.1630333260942801E-3"/>
    <n v="1534.9740932642487"/>
    <n v="639.39393939393938"/>
    <s v="Luiz"/>
    <s v="Luiz"/>
    <x v="3"/>
  </r>
  <r>
    <x v="28"/>
    <x v="3"/>
    <x v="30"/>
    <n v="0.52834448160535119"/>
    <n v="7.1760000000000002"/>
    <n v="5"/>
    <n v="2.1760000000000002"/>
    <n v="9.2493951752108288"/>
    <n v="3.7914000000000003"/>
    <n v="3.5816062176165806"/>
    <n v="1.429324157594249"/>
    <n v="0.44706480000000004"/>
    <n v="0"/>
    <n v="2.5899999999999999E-2"/>
    <n v="3.6400000000000002E-2"/>
    <n v="-7.0733951752108286"/>
    <n v="-3.2506411650785054"/>
    <n v="2.6417224080267561"/>
    <n v="0.69676700111482714"/>
    <x v="0"/>
    <n v="7"/>
    <n v="0"/>
    <n v="24.455344866169746"/>
    <n v="3.4936206951671065"/>
    <n v="0.59064448160535121"/>
    <n v="5.0109303752108296"/>
    <n v="1989.6092900000001"/>
    <n v="3.6067382857867536E-3"/>
    <n v="1.2080233232537789E-3"/>
    <n v="441.91919191919192"/>
    <n v="987.40496567505716"/>
    <n v="5940.2826600000026"/>
    <n v="1.2080233232537789E-3"/>
    <n v="3581.6062176165806"/>
    <n v="1429.3241575942491"/>
    <s v="Luiz"/>
    <s v="Luiz"/>
    <x v="3"/>
  </r>
  <r>
    <x v="29"/>
    <x v="3"/>
    <x v="31"/>
    <n v="0.52661630669929427"/>
    <n v="59.462649999999996"/>
    <n v="22.16197"/>
    <n v="37.30068"/>
    <n v="87.70028472569112"/>
    <n v="31.314001129552789"/>
    <n v="35.304404145077726"/>
    <n v="14.106910606060614"/>
    <n v="6.9749688449999994"/>
    <n v="5.5E-2"/>
    <n v="2.5899999999999999E-2"/>
    <n v="3.6400000000000002E-2"/>
    <n v="-50.39960472569112"/>
    <n v="-1.3511712045381243"/>
    <n v="11.67085479058056"/>
    <n v="0.37270404194902179"/>
    <x v="0"/>
    <n v="69"/>
    <n v="3.2704457499999999"/>
    <n v="201.00129856464977"/>
    <n v="2.9130622980384024"/>
    <n v="0.64391630669929423"/>
    <n v="49.411314751138342"/>
    <n v="1989.6092900000001"/>
    <n v="2.988659647844728E-2"/>
    <n v="1.0010070800233599E-2"/>
    <n v="4356.060606060606"/>
    <n v="9750.8500000000076"/>
    <n v="5940.2826600000026"/>
    <n v="1.0010070800233599E-2"/>
    <n v="35304.404145077722"/>
    <n v="14106.910606060614"/>
    <s v="Luiz"/>
    <s v="Luiz"/>
    <x v="3"/>
  </r>
  <r>
    <x v="30"/>
    <x v="3"/>
    <x v="32"/>
    <n v="0.53514454755508012"/>
    <n v="191.46640000000011"/>
    <n v="0"/>
    <n v="191.46640000000011"/>
    <n v="199.54452884833668"/>
    <n v="102.46220000000005"/>
    <n v="53.212435233160619"/>
    <n v="26.197544895176001"/>
    <n v="17.672348720000009"/>
    <n v="0.03"/>
    <n v="2.5899999999999999E-2"/>
    <n v="3.6400000000000002E-2"/>
    <n v="-8.0781288483365756"/>
    <n v="-4.2190843136636881E-2"/>
    <n v="0"/>
    <n v="0"/>
    <x v="0"/>
    <n v="104"/>
    <n v="5.7439920000000031"/>
    <n v="213.1494240849338"/>
    <n v="2.0495136931243634"/>
    <n v="0.62744454755508006"/>
    <n v="79.409980128336628"/>
    <n v="1989.6092900000001"/>
    <n v="9.623316545732459E-2"/>
    <n v="3.2231866892340783E-2"/>
    <n v="6565.6565656565654"/>
    <n v="19631.888329519436"/>
    <n v="5940.2826600000026"/>
    <n v="3.2231866892340783E-2"/>
    <n v="53212.435233160621"/>
    <n v="26197.544895176001"/>
    <s v="Luiz"/>
    <s v="Luiz"/>
    <x v="3"/>
  </r>
  <r>
    <x v="35"/>
    <x v="3"/>
    <x v="38"/>
    <n v="0.55552886219552877"/>
    <n v="28.752000000000002"/>
    <n v="48.021679999999996"/>
    <n v="-19.269679999999994"/>
    <n v="43.826032516407999"/>
    <n v="15.972565845845844"/>
    <n v="17.9080310880829"/>
    <n v="7.2916259824792551"/>
    <n v="2.6538096000000002"/>
    <n v="0.03"/>
    <n v="2.5899999999999999E-2"/>
    <n v="3.6400000000000002E-2"/>
    <n v="-63.095712516407993"/>
    <n v="3.2743518582772526"/>
    <n v="26.677429251117779"/>
    <n v="1.6702031163049524"/>
    <x v="0"/>
    <n v="35"/>
    <n v="0.86255999999999999"/>
    <n v="207.91407702244851"/>
    <n v="5.9404022006413859"/>
    <n v="0.64782886219552882"/>
    <n v="25.199657070562154"/>
    <n v="1989.6092900000001"/>
    <n v="1.4451078482851274E-2"/>
    <n v="4.8401737165820304E-3"/>
    <n v="2209.5959595959594"/>
    <n v="5082.0300228832957"/>
    <n v="5940.2826600000026"/>
    <n v="4.8401737165820304E-3"/>
    <n v="17908.031088082902"/>
    <n v="7291.6259824792551"/>
    <s v="Luiz"/>
    <s v="Luiz"/>
    <x v="3"/>
  </r>
  <r>
    <x v="44"/>
    <x v="3"/>
    <x v="50"/>
    <n v="0"/>
    <n v="0"/>
    <n v="57.969929999999998"/>
    <n v="-57.969929999999998"/>
    <n v="24.714187817875942"/>
    <n v="0"/>
    <n v="17.396373056994822"/>
    <n v="7.317814760881121"/>
    <n v="0"/>
    <n v="0.03"/>
    <n v="2.5899999999999999E-2"/>
    <n v="3.6400000000000002E-2"/>
    <n v="-82.684117817875944"/>
    <n v="1.4263277153840956"/>
    <n v="0"/>
    <n v="0"/>
    <x v="0"/>
    <n v="34"/>
    <n v="0"/>
    <n v="91.091900206980213"/>
    <n v="2.6791735354994182"/>
    <n v="9.2299999999999993E-2"/>
    <n v="24.714187817875942"/>
    <n v="1989.6092900000001"/>
    <n v="0"/>
    <n v="0"/>
    <n v="2146.4646464646462"/>
    <n v="5171.3501144164757"/>
    <n v="5940.2826600000026"/>
    <n v="0"/>
    <n v="17396.37305699482"/>
    <n v="7317.8147608811214"/>
    <s v="Luiz"/>
    <s v="Luiz"/>
    <x v="3"/>
  </r>
  <r>
    <x v="45"/>
    <x v="3"/>
    <x v="51"/>
    <n v="0.57548696350436734"/>
    <n v="366.12600000000009"/>
    <n v="57.283779999999993"/>
    <n v="308.84222000000011"/>
    <n v="259.54122061907162"/>
    <n v="210.70074000000005"/>
    <n v="7.1632124352331612"/>
    <n v="7.8838383838383832"/>
    <n v="33.793429800000006"/>
    <n v="0.03"/>
    <n v="2.5899999999999999E-2"/>
    <n v="3.6400000000000002E-2"/>
    <n v="49.300999380928488"/>
    <n v="0.15963167011598503"/>
    <n v="32.966068610252201"/>
    <n v="0.15645919710700681"/>
    <x v="0"/>
    <n v="14"/>
    <n v="10.983780000000003"/>
    <n v="217.72423978919451"/>
    <n v="15.551731413513894"/>
    <n v="0.66778696350436739"/>
    <n v="15.047050819071544"/>
    <n v="1989.6092900000001"/>
    <n v="0.18401904426170029"/>
    <n v="6.1634440809589346E-2"/>
    <n v="883.83838383838383"/>
    <n v="7000"/>
    <n v="5940.2826600000026"/>
    <n v="6.1634440809589346E-2"/>
    <n v="7163.2124352331612"/>
    <n v="7883.8383838383834"/>
    <s v="Luiz"/>
    <s v="Luiz"/>
    <x v="3"/>
  </r>
  <r>
    <x v="60"/>
    <x v="3"/>
    <x v="44"/>
    <n v="0"/>
    <n v="0"/>
    <n v="0"/>
    <n v="0"/>
    <n v="0.72478934421939611"/>
    <n v="0"/>
    <n v="0.51165803108808294"/>
    <n v="0.21313131313131314"/>
    <n v="0"/>
    <n v="0.03"/>
    <n v="2.5899999999999999E-2"/>
    <n v="3.6400000000000002E-2"/>
    <n v="-0.72478934421939611"/>
    <n v="0"/>
    <n v="0"/>
    <n v="0"/>
    <x v="0"/>
    <n v="1"/>
    <n v="0"/>
    <n v="0.79848996829282382"/>
    <n v="0.79848996829282382"/>
    <n v="9.2299999999999993E-2"/>
    <n v="0.72478934421939611"/>
    <n v="1989.6092900000001"/>
    <n v="0"/>
    <n v="0"/>
    <n v="63.131313131313128"/>
    <n v="150"/>
    <n v="5940.2826600000026"/>
    <n v="0"/>
    <n v="511.65803108808291"/>
    <n v="213.13131313131314"/>
    <s v="Luiz"/>
    <s v="Luiz"/>
    <x v="3"/>
  </r>
  <r>
    <x v="60"/>
    <x v="3"/>
    <x v="45"/>
    <n v="0"/>
    <n v="0"/>
    <n v="0"/>
    <n v="0"/>
    <n v="2.8991573768775845"/>
    <n v="0"/>
    <n v="2.0466321243523318"/>
    <n v="0.85252525252525257"/>
    <n v="0"/>
    <n v="0.03"/>
    <n v="2.5899999999999999E-2"/>
    <n v="3.6400000000000002E-2"/>
    <n v="-2.8991573768775845"/>
    <n v="0"/>
    <n v="0"/>
    <n v="0"/>
    <x v="0"/>
    <n v="4"/>
    <n v="0"/>
    <n v="3.1939598731712953"/>
    <n v="0.79848996829282382"/>
    <n v="9.2299999999999993E-2"/>
    <n v="2.8991573768775845"/>
    <n v="1989.6092900000001"/>
    <n v="0"/>
    <n v="0"/>
    <n v="252.52525252525251"/>
    <n v="600"/>
    <n v="5940.2826600000026"/>
    <n v="0"/>
    <n v="2046.6321243523316"/>
    <n v="852.52525252525254"/>
    <s v="Luiz"/>
    <s v="Luiz"/>
    <x v="3"/>
  </r>
  <r>
    <x v="60"/>
    <x v="3"/>
    <x v="62"/>
    <n v="0"/>
    <n v="0"/>
    <n v="0"/>
    <n v="0"/>
    <n v="0"/>
    <n v="0"/>
    <n v="0"/>
    <n v="0"/>
    <n v="0"/>
    <n v="0.03"/>
    <n v="2.5899999999999999E-2"/>
    <n v="3.6400000000000002E-2"/>
    <n v="0"/>
    <n v="0"/>
    <n v="0"/>
    <n v="0"/>
    <x v="0"/>
    <n v="0"/>
    <n v="0"/>
    <n v="0"/>
    <n v="0"/>
    <n v="9.2299999999999993E-2"/>
    <n v="0"/>
    <n v="1989.6092900000001"/>
    <n v="0"/>
    <n v="0"/>
    <n v="0"/>
    <n v="0"/>
    <n v="5940.2826600000026"/>
    <n v="0"/>
    <n v="0"/>
    <n v="0"/>
    <s v="Luiz"/>
    <s v="Luiz"/>
    <x v="3"/>
  </r>
  <r>
    <x v="32"/>
    <x v="3"/>
    <x v="35"/>
    <n v="0.58348679245283019"/>
    <n v="13.25"/>
    <n v="0.5141"/>
    <n v="12.735900000000001"/>
    <n v="9.5289643442193963"/>
    <n v="7.7312000000000003"/>
    <n v="0.51165803108808294"/>
    <n v="6.3131313131313122E-2"/>
    <n v="1.2229749999999999"/>
    <n v="0.03"/>
    <n v="2.5899999999999999E-2"/>
    <n v="3.6400000000000002E-2"/>
    <n v="3.2069356557806046"/>
    <n v="0.25180282946478888"/>
    <n v="0.29997056"/>
    <n v="3.8800000000000001E-2"/>
    <x v="0"/>
    <n v="1"/>
    <n v="0.39749999999999996"/>
    <n v="3.3585594876204223"/>
    <n v="3.3585594876204223"/>
    <n v="0.67578679245283024"/>
    <n v="0.57478934421939609"/>
    <n v="1989.6092900000001"/>
    <n v="6.6595989808632223E-3"/>
    <n v="2.2305335887838028E-3"/>
    <n v="63.131313131313128"/>
    <n v="0"/>
    <n v="5940.2826600000026"/>
    <n v="2.2305335887838028E-3"/>
    <n v="511.65803108808291"/>
    <n v="63.131313131313128"/>
    <s v="Luiz"/>
    <s v="Luiz"/>
    <x v="3"/>
  </r>
  <r>
    <x v="47"/>
    <x v="3"/>
    <x v="53"/>
    <n v="0.54037989001754227"/>
    <n v="617.83399999999972"/>
    <n v="92.146000000000001"/>
    <n v="525.68799999999976"/>
    <n v="420.30793159365442"/>
    <n v="333.86506896909805"/>
    <n v="19.954663212435232"/>
    <n v="9.4621212121212128"/>
    <n v="57.026078199999972"/>
    <n v="0.03"/>
    <n v="2.5899999999999999E-2"/>
    <n v="3.6400000000000002E-2"/>
    <n v="105.38006840634534"/>
    <n v="0.20046124013929439"/>
    <n v="49.793845345556448"/>
    <n v="0.14914362110210841"/>
    <x v="0"/>
    <n v="39"/>
    <n v="18.535019999999992"/>
    <n v="330.94508337798874"/>
    <n v="8.4857713686663772"/>
    <n v="0.63267989001754232"/>
    <n v="29.416784424556447"/>
    <n v="1989.6092900000001"/>
    <n v="0.31053031522586011"/>
    <n v="0.10400750862586049"/>
    <n v="2462.121212121212"/>
    <n v="6999.9999999999991"/>
    <n v="5940.2826600000026"/>
    <n v="0.10400750862586049"/>
    <n v="19954.663212435233"/>
    <n v="9462.121212121212"/>
    <s v="Luiz"/>
    <s v="Luiz"/>
    <x v="3"/>
  </r>
  <r>
    <x v="52"/>
    <x v="3"/>
    <x v="59"/>
    <n v="0.56401680672268906"/>
    <n v="47.599999999999994"/>
    <n v="3.3657900000000001"/>
    <n v="44.234209999999997"/>
    <n v="31.240679999999998"/>
    <n v="26.847199999999997"/>
    <n v="0"/>
    <n v="0"/>
    <n v="4.3934799999999994"/>
    <n v="0.03"/>
    <n v="2.5899999999999999E-2"/>
    <n v="3.6400000000000002E-2"/>
    <n v="12.99353"/>
    <n v="0.29374391449513848"/>
    <n v="1.8983621278991596"/>
    <n v="7.0709873949579838E-2"/>
    <x v="0"/>
    <n v="0"/>
    <n v="1.4279999999999997"/>
    <n v="9.7932923862361001"/>
    <n v="9.7932923862361001"/>
    <n v="0.65631680672268899"/>
    <n v="0"/>
    <n v="1989.6092900000001"/>
    <n v="2.3924295206723723E-2"/>
    <n v="8.0130867038572823E-3"/>
    <n v="0"/>
    <n v="0"/>
    <n v="5940.2826600000026"/>
    <n v="8.0130867038572823E-3"/>
    <n v="0"/>
    <n v="0"/>
    <s v="Luiz"/>
    <s v="Luiz"/>
    <x v="3"/>
  </r>
  <r>
    <x v="56"/>
    <x v="0"/>
    <x v="64"/>
    <n v="0"/>
    <n v="-23.417279999999998"/>
    <n v="0"/>
    <n v="-23.417279999999998"/>
    <n v="-1.4588965439999999"/>
    <n v="0"/>
    <n v="0"/>
    <n v="0"/>
    <n v="-1.4588965439999999"/>
    <n v="0"/>
    <n v="2.5899999999999999E-2"/>
    <n v="3.6400000000000002E-2"/>
    <n v="-21.958383456"/>
    <n v="0.93770000000000009"/>
    <n v="0"/>
    <n v="0"/>
    <x v="0"/>
    <n v="0"/>
    <n v="0"/>
    <n v="0"/>
    <n v="0"/>
    <n v="6.2300000000000001E-2"/>
    <n v="0"/>
    <n v="341.6511099999999"/>
    <n v="-6.8541501299381122E-2"/>
    <n v="-3.9421154413551065E-3"/>
    <n v="0"/>
    <n v="0"/>
    <n v="5940.2826600000026"/>
    <n v="-3.9421154413551065E-3"/>
    <n v="0"/>
    <n v="0"/>
    <s v="Luisa"/>
    <s v="Luisa"/>
    <x v="3"/>
  </r>
  <r>
    <x v="61"/>
    <x v="2"/>
    <x v="65"/>
    <n v="0.5537637011168357"/>
    <n v="34.705199999999984"/>
    <n v="0"/>
    <n v="34.705199999999984"/>
    <n v="21.380613959999994"/>
    <n v="19.218479999999996"/>
    <n v="0"/>
    <n v="0"/>
    <n v="2.1621339599999989"/>
    <n v="0"/>
    <n v="2.5899999999999999E-2"/>
    <n v="3.6400000000000002E-2"/>
    <n v="13.324586039999989"/>
    <n v="0.38393629888316433"/>
    <n v="0"/>
    <n v="0"/>
    <x v="0"/>
    <n v="0"/>
    <n v="0"/>
    <n v="0"/>
    <n v="0"/>
    <n v="0.61606370111683573"/>
    <n v="0"/>
    <n v="3079.4586999999997"/>
    <n v="1.1269902726735705E-2"/>
    <n v="5.8423482494686487E-3"/>
    <n v="0"/>
    <n v="0"/>
    <n v="5940.2826600000026"/>
    <n v="5.8423482494686487E-3"/>
    <n v="0"/>
    <n v="0"/>
    <s v="Leandro"/>
    <s v="Leandro"/>
    <x v="3"/>
  </r>
  <r>
    <x v="62"/>
    <x v="3"/>
    <x v="66"/>
    <n v="0.63"/>
    <n v="150.28"/>
    <n v="0"/>
    <n v="150.28"/>
    <n v="104.038844"/>
    <n v="94.676400000000001"/>
    <n v="0"/>
    <n v="0"/>
    <n v="9.362444"/>
    <n v="0"/>
    <n v="2.5899999999999999E-2"/>
    <n v="3.6400000000000002E-2"/>
    <n v="46.241156000000004"/>
    <n v="0.30770000000000003"/>
    <n v="0"/>
    <n v="0"/>
    <x v="0"/>
    <n v="0"/>
    <n v="0"/>
    <n v="0"/>
    <n v="0"/>
    <n v="0.69230000000000003"/>
    <n v="0"/>
    <n v="1989.6092900000001"/>
    <n v="7.5532417724084908E-2"/>
    <n v="2.5298459450749426E-2"/>
    <n v="0"/>
    <n v="0"/>
    <n v="5940.2826600000026"/>
    <n v="2.5298459450749426E-2"/>
    <n v="0"/>
    <n v="0"/>
    <s v="Luiz"/>
    <s v="Luiz"/>
    <x v="3"/>
  </r>
  <r>
    <x v="42"/>
    <x v="1"/>
    <x v="47"/>
    <n v="0.60214093705775484"/>
    <n v="142.28535999999986"/>
    <n v="44.933040000000013"/>
    <n v="97.35231999999985"/>
    <n v="109.60690945533875"/>
    <n v="85.675839999999909"/>
    <n v="8.8301886792452819"/>
    <n v="4.0453083040935676"/>
    <n v="11.055572471999987"/>
    <n v="1.4999999999999999E-2"/>
    <n v="1.7999999999999999E-2"/>
    <n v="4.4699999999999997E-2"/>
    <n v="-12.254589455338902"/>
    <n v="-0.12587876134168061"/>
    <n v="27.056022810453587"/>
    <n v="0.31579524414880111"/>
    <x v="0"/>
    <n v="15"/>
    <n v="2.134280399999998"/>
    <n v="180.56192585048632"/>
    <n v="12.037461723365755"/>
    <n v="0.67984093705775483"/>
    <n v="12.875496983338849"/>
    <n v="627.72225999999978"/>
    <n v="0.22666929160676874"/>
    <n v="3.2221438909327681E-2"/>
    <n v="1184.2105263157894"/>
    <n v="2861.097777777778"/>
    <n v="4415.8599000000004"/>
    <n v="3.2221438909327681E-2"/>
    <n v="8830.1886792452824"/>
    <n v="4045.3083040935671"/>
    <s v="Julliano"/>
    <s v="Julliano"/>
    <x v="4"/>
  </r>
  <r>
    <x v="31"/>
    <x v="1"/>
    <x v="33"/>
    <n v="0.52721719265877143"/>
    <n v="70.547319999999999"/>
    <n v="3.46672"/>
    <n v="67.080600000000004"/>
    <n v="62.417121638081433"/>
    <n v="37.193759999999997"/>
    <n v="11.773584905660377"/>
    <n v="4.0881473684210521"/>
    <n v="9.3616293640000006"/>
    <n v="7.0000000000000007E-2"/>
    <n v="1.7999999999999999E-2"/>
    <n v="4.4699999999999997E-2"/>
    <n v="4.6634783619185711"/>
    <n v="6.9520522504547821E-2"/>
    <n v="1.8277143861340162"/>
    <n v="4.9140350051568228E-2"/>
    <x v="0"/>
    <n v="20"/>
    <n v="4.9383124"/>
    <n v="56.834546930471141"/>
    <n v="2.8417273465235571"/>
    <n v="0.65991719265877147"/>
    <n v="15.861732274081429"/>
    <n v="627.72225999999978"/>
    <n v="0.11238620086533178"/>
    <n v="1.5975896336747456E-2"/>
    <n v="1578.9473684210525"/>
    <n v="2509.1999999999994"/>
    <n v="4415.8599000000004"/>
    <n v="1.5975896336747456E-2"/>
    <n v="11773.584905660377"/>
    <n v="4088.1473684210519"/>
    <s v="Julliano"/>
    <s v="Julliano"/>
    <x v="4"/>
  </r>
  <r>
    <x v="4"/>
    <x v="1"/>
    <x v="4"/>
    <n v="0.46127043468280127"/>
    <n v="4.8789600000000002"/>
    <n v="0"/>
    <n v="4.8789600000000002"/>
    <n v="3.2240574057040718"/>
    <n v="2.2505200000000003"/>
    <n v="0.58867924528301885"/>
    <n v="7.8947368421052627E-2"/>
    <n v="0.30591079199999999"/>
    <n v="0"/>
    <n v="1.7999999999999999E-2"/>
    <n v="4.4699999999999997E-2"/>
    <n v="1.6549025942959283"/>
    <n v="0.33919167082655488"/>
    <n v="0"/>
    <n v="0"/>
    <x v="0"/>
    <n v="1"/>
    <n v="0"/>
    <n v="1.4024898080840913"/>
    <n v="1.4024898080840913"/>
    <n v="0.52397043468280124"/>
    <n v="0.6676266137040715"/>
    <n v="627.72225999999978"/>
    <n v="7.7724820528110661E-3"/>
    <n v="1.1048720091867044E-3"/>
    <n v="78.94736842105263"/>
    <n v="0"/>
    <n v="4415.8599000000004"/>
    <n v="1.1048720091867044E-3"/>
    <n v="588.67924528301887"/>
    <n v="78.94736842105263"/>
    <s v="Julliano"/>
    <s v="Julliano"/>
    <x v="4"/>
  </r>
  <r>
    <x v="54"/>
    <x v="1"/>
    <x v="61"/>
    <n v="0"/>
    <n v="0"/>
    <n v="0"/>
    <n v="0"/>
    <n v="1.6304532274081429"/>
    <n v="0"/>
    <n v="1.1773584905660377"/>
    <n v="0.45309473684210527"/>
    <n v="0"/>
    <n v="0.08"/>
    <n v="1.7999999999999999E-2"/>
    <n v="4.4699999999999997E-2"/>
    <n v="-1.6304532274081429"/>
    <n v="0"/>
    <n v="0"/>
    <n v="0"/>
    <x v="0"/>
    <n v="2"/>
    <n v="0"/>
    <n v="1.9018467600701541"/>
    <n v="0.95092338003507704"/>
    <n v="0.14269999999999999"/>
    <n v="1.6304532274081429"/>
    <n v="627.72225999999978"/>
    <n v="0"/>
    <n v="0"/>
    <n v="157.89473684210526"/>
    <n v="295.2"/>
    <n v="4415.8599000000004"/>
    <n v="0"/>
    <n v="1177.3584905660377"/>
    <n v="453.09473684210525"/>
    <s v="Julliano"/>
    <s v="Julliano"/>
    <x v="4"/>
  </r>
  <r>
    <x v="36"/>
    <x v="1"/>
    <x v="39"/>
    <n v="0.51737065508322611"/>
    <n v="22.192599999999999"/>
    <n v="0"/>
    <n v="22.192599999999999"/>
    <n v="17.728689861112219"/>
    <n v="11.481800000000003"/>
    <n v="1.7660377358490567"/>
    <n v="1.0920421052631579"/>
    <n v="3.3888100199999998"/>
    <n v="0.09"/>
    <n v="1.7999999999999999E-2"/>
    <n v="4.4699999999999997E-2"/>
    <n v="4.4639101388877798"/>
    <n v="0.20114408131033679"/>
    <n v="0"/>
    <n v="0"/>
    <x v="0"/>
    <n v="3"/>
    <n v="1.9973339999999997"/>
    <n v="8.6627027427135257"/>
    <n v="2.8875675809045087"/>
    <n v="0.67007065508322605"/>
    <n v="2.8580798411122146"/>
    <n v="627.72225999999978"/>
    <n v="3.5354170807962118E-2"/>
    <n v="5.0256576301254477E-3"/>
    <n v="236.84210526315789"/>
    <n v="855.2"/>
    <n v="4415.8599000000004"/>
    <n v="5.0256576301254477E-3"/>
    <n v="1766.0377358490566"/>
    <n v="1092.042105263158"/>
    <s v="Julliano"/>
    <s v="Julliano"/>
    <x v="4"/>
  </r>
  <r>
    <x v="10"/>
    <x v="1"/>
    <x v="11"/>
    <n v="0"/>
    <n v="0"/>
    <n v="0"/>
    <n v="0"/>
    <n v="0"/>
    <n v="0"/>
    <n v="0"/>
    <n v="0"/>
    <n v="0"/>
    <n v="0"/>
    <n v="1.7999999999999999E-2"/>
    <n v="4.4699999999999997E-2"/>
    <n v="0"/>
    <n v="0"/>
    <n v="0"/>
    <n v="0"/>
    <x v="0"/>
    <n v="0"/>
    <n v="0"/>
    <n v="0"/>
    <n v="0"/>
    <n v="6.2699999999999992E-2"/>
    <n v="0"/>
    <n v="627.72225999999978"/>
    <n v="0"/>
    <n v="0"/>
    <n v="0"/>
    <n v="0"/>
    <n v="4415.8599000000004"/>
    <n v="0"/>
    <n v="0"/>
    <n v="0"/>
    <s v="Julliano"/>
    <s v="Julliano"/>
    <x v="4"/>
  </r>
  <r>
    <x v="39"/>
    <x v="1"/>
    <x v="42"/>
    <n v="0.50067734851112156"/>
    <n v="94.692760000000021"/>
    <n v="2.3407"/>
    <n v="92.352060000000023"/>
    <n v="80.311431257561082"/>
    <n v="47.410519999999998"/>
    <n v="8.8301886792452819"/>
    <n v="8.6642105263157898"/>
    <n v="15.406512052000004"/>
    <n v="0.1"/>
    <n v="1.7999999999999999E-2"/>
    <n v="4.4699999999999997E-2"/>
    <n v="12.04062874243894"/>
    <n v="0.13037747877458214"/>
    <n v="1.1719354696599822"/>
    <n v="2.4718890863461997E-2"/>
    <x v="0"/>
    <n v="15"/>
    <n v="9.4692760000000025"/>
    <n v="58.923839848063231"/>
    <n v="3.9282559898708822"/>
    <n v="0.66337734851112162"/>
    <n v="17.494399205561074"/>
    <n v="627.72225999999978"/>
    <n v="0.15085136537933203"/>
    <n v="2.1443787199861123E-2"/>
    <n v="1184.2105263157894"/>
    <n v="7480"/>
    <n v="4415.8599000000004"/>
    <n v="2.1443787199861123E-2"/>
    <n v="8830.1886792452824"/>
    <n v="8664.21052631579"/>
    <s v="Julliano"/>
    <s v="Julliano"/>
    <x v="4"/>
  </r>
  <r>
    <x v="42"/>
    <x v="1"/>
    <x v="48"/>
    <n v="0.59698721822185474"/>
    <n v="202.26747999999975"/>
    <n v="84.38745999999999"/>
    <n v="117.88001999999976"/>
    <n v="177.48429394426026"/>
    <n v="120.7511002219445"/>
    <n v="31.2"/>
    <n v="9.8170105263157872"/>
    <n v="15.716183195999978"/>
    <n v="1.4999999999999999E-2"/>
    <n v="1.7999999999999999E-2"/>
    <n v="4.4699999999999997E-2"/>
    <n v="-59.604273944260498"/>
    <n v="-0.5056350850997533"/>
    <n v="50.378234998208029"/>
    <n v="0.41720725447313672"/>
    <x v="0"/>
    <n v="53"/>
    <n v="3.0340121999999963"/>
    <n v="385.48891267309108"/>
    <n v="7.2733757108130392"/>
    <n v="0.67468721822185473"/>
    <n v="41.017010526315786"/>
    <n v="627.72225999999978"/>
    <n v="0.32222448189108321"/>
    <n v="4.5804777456820975E-2"/>
    <n v="4184.2105263157891"/>
    <n v="5632.7999999999984"/>
    <n v="4415.8599000000004"/>
    <n v="4.5804777456820975E-2"/>
    <n v="31200"/>
    <n v="9817.0105263157875"/>
    <s v="Julliano"/>
    <s v="Julliano"/>
    <x v="4"/>
  </r>
  <r>
    <x v="17"/>
    <x v="1"/>
    <x v="18"/>
    <n v="0.5127160523587978"/>
    <n v="16.5932"/>
    <n v="0"/>
    <n v="16.5932"/>
    <n v="11.183246867408146"/>
    <n v="8.5076000000000036"/>
    <n v="1.1773584905660377"/>
    <n v="0.45789473684210524"/>
    <n v="1.0403936399999998"/>
    <n v="0"/>
    <n v="1.7999999999999999E-2"/>
    <n v="4.4699999999999997E-2"/>
    <n v="5.4099531325918537"/>
    <n v="0.32603434735866826"/>
    <n v="0"/>
    <n v="0"/>
    <x v="0"/>
    <n v="2"/>
    <n v="0"/>
    <n v="3.8514249926142421"/>
    <n v="1.925712496307121"/>
    <n v="0.57541605235879778"/>
    <n v="1.6352532274081431"/>
    <n v="627.72225999999978"/>
    <n v="2.6433983717575996E-2"/>
    <n v="3.7576373290284862E-3"/>
    <n v="157.89473684210526"/>
    <n v="300"/>
    <n v="4415.8599000000004"/>
    <n v="3.7576373290284862E-3"/>
    <n v="1177.3584905660377"/>
    <n v="457.89473684210526"/>
    <s v="Julliano"/>
    <s v="Julliano"/>
    <x v="4"/>
  </r>
  <r>
    <x v="46"/>
    <x v="1"/>
    <x v="52"/>
    <n v="0.58770366417644959"/>
    <n v="56.220000000000006"/>
    <n v="3.8330000000000002"/>
    <n v="52.387000000000008"/>
    <n v="44.162947227408139"/>
    <n v="33.040700000000001"/>
    <n v="1.1773584905660377"/>
    <n v="0.79789473684210521"/>
    <n v="9.1469940000000012"/>
    <n v="0.1"/>
    <n v="1.7999999999999999E-2"/>
    <n v="4.4699999999999997E-2"/>
    <n v="8.2240527725918682"/>
    <n v="0.15698651903319272"/>
    <n v="2.2526681447883314"/>
    <n v="6.8178584133760226E-2"/>
    <x v="0"/>
    <n v="2"/>
    <n v="5.6220000000000008"/>
    <n v="23.270586918848952"/>
    <n v="11.635293459424476"/>
    <n v="0.75040366417644955"/>
    <n v="1.9752532274081429"/>
    <n v="627.72225999999978"/>
    <n v="8.9561902743420352E-2"/>
    <n v="1.2731382170888166E-2"/>
    <n v="157.89473684210526"/>
    <n v="640"/>
    <n v="4415.8599000000004"/>
    <n v="1.2731382170888166E-2"/>
    <n v="1177.3584905660377"/>
    <n v="797.8947368421052"/>
    <s v="Julliano"/>
    <s v="Julliano"/>
    <x v="4"/>
  </r>
  <r>
    <x v="21"/>
    <x v="2"/>
    <x v="22"/>
    <n v="0.4423346619427222"/>
    <n v="325.15199999999999"/>
    <n v="274.99695999999994"/>
    <n v="50.155040000000042"/>
    <n v="248.30766881249187"/>
    <n v="143.82599999999999"/>
    <n v="20.60377358490566"/>
    <n v="40.730224827586206"/>
    <n v="43.147670400000003"/>
    <n v="7.0000000000000007E-2"/>
    <n v="1.7999999999999999E-2"/>
    <n v="4.4699999999999997E-2"/>
    <n v="-198.15262881249183"/>
    <n v="-3.9508019296264476"/>
    <n v="121.64068733687627"/>
    <n v="0.84574894203326434"/>
    <x v="0"/>
    <n v="35"/>
    <n v="22.760640000000002"/>
    <n v="791.43150815552019"/>
    <n v="22.612328804443433"/>
    <n v="0.57503466194272224"/>
    <n v="61.333998412491866"/>
    <n v="2191.72136"/>
    <n v="0.14835462478679315"/>
    <n v="7.3632770822280827E-2"/>
    <n v="4310.3448275862065"/>
    <n v="36419.879999999997"/>
    <n v="4415.8599000000004"/>
    <n v="7.3632770822280827E-2"/>
    <n v="20603.773584905659"/>
    <n v="40730.224827586208"/>
    <s v="Leandro"/>
    <s v="Leandro"/>
    <x v="4"/>
  </r>
  <r>
    <x v="50"/>
    <x v="0"/>
    <x v="56"/>
    <n v="0"/>
    <n v="0"/>
    <n v="0"/>
    <n v="0"/>
    <n v="0.70916117299386228"/>
    <n v="0"/>
    <n v="0.58867924528301885"/>
    <n v="0.12048192771084337"/>
    <n v="0"/>
    <n v="0"/>
    <n v="1.7999999999999999E-2"/>
    <n v="4.4699999999999997E-2"/>
    <n v="-0.70916117299386228"/>
    <n v="0"/>
    <n v="0"/>
    <n v="0"/>
    <x v="0"/>
    <n v="1"/>
    <n v="0"/>
    <n v="0.75659999252519183"/>
    <n v="0.75659999252519183"/>
    <n v="6.2699999999999992E-2"/>
    <n v="0.70916117299386228"/>
    <n v="411.03867999999994"/>
    <n v="0"/>
    <n v="0"/>
    <n v="120.48192771084338"/>
    <n v="0"/>
    <n v="4415.8599000000004"/>
    <n v="0"/>
    <n v="588.67924528301887"/>
    <n v="120.48192771084338"/>
    <s v="Luisa"/>
    <s v="Luisa"/>
    <x v="4"/>
  </r>
  <r>
    <x v="25"/>
    <x v="2"/>
    <x v="26"/>
    <n v="0.58277241314020634"/>
    <n v="169.00800000000001"/>
    <n v="35.590000000000003"/>
    <n v="133.41800000000001"/>
    <n v="162.667339785705"/>
    <n v="98.493200000000002"/>
    <n v="23.547169811320753"/>
    <n v="13.12936837438424"/>
    <n v="27.497601600000003"/>
    <n v="0.1"/>
    <n v="1.7999999999999999E-2"/>
    <n v="4.4699999999999997E-2"/>
    <n v="-29.24933978570499"/>
    <n v="-0.21923083681141217"/>
    <n v="20.740870183659947"/>
    <n v="0.21058174760958062"/>
    <x v="0"/>
    <n v="40"/>
    <n v="16.9008"/>
    <n v="283.92418706862213"/>
    <n v="7.0981046767155531"/>
    <n v="0.7454724131402064"/>
    <n v="36.676538185704992"/>
    <n v="2191.72136"/>
    <n v="7.7111992009787231E-2"/>
    <n v="3.8272953360680664E-2"/>
    <n v="4926.1083743842364"/>
    <n v="8203.2600000000039"/>
    <n v="4415.8599000000004"/>
    <n v="3.8272953360680664E-2"/>
    <n v="23547.169811320753"/>
    <n v="13129.368374384241"/>
    <s v="Leandro"/>
    <s v="Leandro"/>
    <x v="4"/>
  </r>
  <r>
    <x v="19"/>
    <x v="2"/>
    <x v="20"/>
    <n v="0.50352137992231849"/>
    <n v="697.93378000000007"/>
    <n v="72.51603999999999"/>
    <n v="625.41774000000009"/>
    <n v="508.42137221849174"/>
    <n v="351.42457999999988"/>
    <n v="20.60377358490566"/>
    <n v="15.859854827586206"/>
    <n v="120.533163806"/>
    <n v="0.11"/>
    <n v="1.7999999999999999E-2"/>
    <n v="4.4699999999999997E-2"/>
    <n v="116.99636778150835"/>
    <n v="0.18706915442070501"/>
    <n v="36.513376527302036"/>
    <n v="0.10390103198615774"/>
    <x v="0"/>
    <n v="35"/>
    <n v="76.772715800000014"/>
    <n v="336.58698151948778"/>
    <n v="9.6167709005567943"/>
    <n v="0.67622137992231846"/>
    <n v="36.463628412491865"/>
    <n v="2191.72136"/>
    <n v="0.31844092626810921"/>
    <n v="0.15805161300520426"/>
    <n v="4310.3448275862065"/>
    <n v="11549.51"/>
    <n v="4415.8599000000004"/>
    <n v="0.15805161300520426"/>
    <n v="20603.773584905659"/>
    <n v="15859.854827586207"/>
    <s v="Leandro"/>
    <s v="Leandro"/>
    <x v="4"/>
  </r>
  <r>
    <x v="20"/>
    <x v="2"/>
    <x v="21"/>
    <n v="0.51886109938377234"/>
    <n v="317.44438000000002"/>
    <n v="68.848570000000009"/>
    <n v="248.59581000000003"/>
    <n v="225.86749032813776"/>
    <n v="164.70954"/>
    <n v="12.950943396226416"/>
    <n v="7.66935960591133"/>
    <n v="40.537647326000005"/>
    <n v="6.5000000000000002E-2"/>
    <n v="1.7999999999999999E-2"/>
    <n v="4.4699999999999997E-2"/>
    <n v="22.728319671862266"/>
    <n v="9.142680108672091E-2"/>
    <n v="35.722844721200609"/>
    <n v="0.21688388372161449"/>
    <x v="0"/>
    <n v="22"/>
    <n v="20.633884700000003"/>
    <n v="253.13816007843798"/>
    <n v="11.506280003565363"/>
    <n v="0.64656109938377238"/>
    <n v="20.620303002137746"/>
    <n v="2191.72136"/>
    <n v="0.14483792775556106"/>
    <n v="7.1887330483469375E-2"/>
    <n v="2709.3596059113302"/>
    <n v="4960"/>
    <n v="4415.8599000000004"/>
    <n v="7.1887330483469375E-2"/>
    <n v="12950.943396226416"/>
    <n v="7669.3596059113297"/>
    <s v="Leandro"/>
    <s v="Leandro"/>
    <x v="4"/>
  </r>
  <r>
    <x v="55"/>
    <x v="2"/>
    <x v="63"/>
    <n v="0"/>
    <n v="0"/>
    <n v="0"/>
    <n v="0"/>
    <n v="13.677479319639371"/>
    <n v="0"/>
    <n v="8.8301886792452819"/>
    <n v="4.847290640394089"/>
    <n v="0"/>
    <n v="0"/>
    <n v="1.7999999999999999E-2"/>
    <n v="4.4699999999999997E-2"/>
    <n v="-13.677479319639371"/>
    <n v="0"/>
    <n v="0"/>
    <n v="0"/>
    <x v="0"/>
    <n v="15"/>
    <n v="0"/>
    <n v="14.59242432480462"/>
    <n v="0.97282828832030799"/>
    <n v="6.2699999999999992E-2"/>
    <n v="13.677479319639371"/>
    <n v="2191.72136"/>
    <n v="0"/>
    <n v="0"/>
    <n v="1847.2906403940885"/>
    <n v="3000"/>
    <n v="4415.8599000000004"/>
    <n v="0"/>
    <n v="8830.1886792452824"/>
    <n v="4847.2906403940888"/>
    <s v="Leandro"/>
    <s v="Leandro"/>
    <x v="4"/>
  </r>
  <r>
    <x v="22"/>
    <x v="2"/>
    <x v="23"/>
    <n v="0.53511422356428917"/>
    <n v="435.81199999999995"/>
    <n v="10.21208"/>
    <n v="425.59991999999994"/>
    <n v="322.87349126606557"/>
    <n v="233.20919999999998"/>
    <n v="14.716981132075473"/>
    <n v="8.398817733990148"/>
    <n v="66.548492400000001"/>
    <n v="0.09"/>
    <n v="1.7999999999999999E-2"/>
    <n v="4.4699999999999997E-2"/>
    <n v="102.72642873393437"/>
    <n v="0.24136853393660032"/>
    <n v="5.4646292601764062"/>
    <n v="2.3432305673088398E-2"/>
    <x v="0"/>
    <n v="25"/>
    <n v="39.223079999999996"/>
    <n v="106.75655773487463"/>
    <n v="4.270262309394985"/>
    <n v="0.68781422356428923"/>
    <n v="23.115798866065621"/>
    <n v="2191.72136"/>
    <n v="0.19884461955510621"/>
    <n v="9.8692442665583649E-2"/>
    <n v="3078.8177339901476"/>
    <n v="5320"/>
    <n v="4415.8599000000004"/>
    <n v="9.8692442665583649E-2"/>
    <n v="14716.981132075472"/>
    <n v="8398.8177339901486"/>
    <s v="Leandro"/>
    <s v="Leandro"/>
    <x v="4"/>
  </r>
  <r>
    <x v="23"/>
    <x v="2"/>
    <x v="24"/>
    <n v="0"/>
    <n v="0"/>
    <n v="0"/>
    <n v="0"/>
    <n v="8.9183195464262468"/>
    <n v="0"/>
    <n v="5.8867924528301883"/>
    <n v="3.031527093596059"/>
    <n v="0"/>
    <n v="0.05"/>
    <n v="1.7999999999999999E-2"/>
    <n v="4.4699999999999997E-2"/>
    <n v="-8.9183195464262468"/>
    <n v="0"/>
    <n v="0"/>
    <n v="0"/>
    <x v="0"/>
    <n v="10"/>
    <n v="0"/>
    <n v="10.051075787700041"/>
    <n v="1.0051075787700041"/>
    <n v="0.11269999999999999"/>
    <n v="8.9183195464262468"/>
    <n v="2191.72136"/>
    <n v="0"/>
    <n v="0"/>
    <n v="1231.5270935960591"/>
    <n v="1800"/>
    <n v="4415.8599000000004"/>
    <n v="0"/>
    <n v="5886.7924528301883"/>
    <n v="3031.5270935960589"/>
    <s v="Leandro"/>
    <s v="Leandro"/>
    <x v="4"/>
  </r>
  <r>
    <x v="24"/>
    <x v="2"/>
    <x v="25"/>
    <n v="0.59181358474740287"/>
    <n v="198.38719999999995"/>
    <n v="74.361380000000011"/>
    <n v="124.02581999999994"/>
    <n v="160.09719662356716"/>
    <n v="117.40823999999994"/>
    <n v="10.596226415094339"/>
    <n v="5.7667487684729055"/>
    <n v="26.325981439999996"/>
    <n v="7.0000000000000007E-2"/>
    <n v="1.7999999999999999E-2"/>
    <n v="4.4699999999999997E-2"/>
    <n v="-36.071376623567218"/>
    <n v="-0.2908376386752955"/>
    <n v="44.008074864563838"/>
    <n v="0.37482952529195446"/>
    <x v="0"/>
    <n v="18"/>
    <n v="13.887103999999997"/>
    <n v="329.32424308610973"/>
    <n v="18.295791282561652"/>
    <n v="0.72451358474740291"/>
    <n v="16.362975183567244"/>
    <n v="2191.72136"/>
    <n v="9.0516615670524811E-2"/>
    <n v="4.4926062984923944E-2"/>
    <n v="2216.7487684729062"/>
    <n v="3550"/>
    <n v="4415.8599000000004"/>
    <n v="4.4926062984923944E-2"/>
    <n v="10596.226415094339"/>
    <n v="5766.7487684729058"/>
    <s v="Leandro"/>
    <s v="Leandro"/>
    <x v="4"/>
  </r>
  <r>
    <x v="57"/>
    <x v="0"/>
    <x v="55"/>
    <n v="0.52883701751555257"/>
    <n v="2.23116"/>
    <n v="0"/>
    <n v="2.23116"/>
    <n v="2.7381360779877246"/>
    <n v="1.1799200000000003"/>
    <n v="1.1773584905660377"/>
    <n v="0.24096385542168675"/>
    <n v="0.13989373199999999"/>
    <n v="0"/>
    <n v="1.7999999999999999E-2"/>
    <n v="4.4699999999999997E-2"/>
    <n v="-0.50697607798772459"/>
    <n v="-0.22722533479791884"/>
    <n v="0"/>
    <n v="0"/>
    <x v="0"/>
    <n v="2"/>
    <n v="0"/>
    <n v="3.4723399838116991"/>
    <n v="1.7361699919058495"/>
    <n v="0.59153701751555254"/>
    <n v="1.4183223459877246"/>
    <n v="411.03867999999994"/>
    <n v="5.4281022895460848E-3"/>
    <n v="5.0526059488436215E-4"/>
    <n v="240.96385542168676"/>
    <n v="0"/>
    <n v="4415.8599000000004"/>
    <n v="5.0526059488436215E-4"/>
    <n v="1177.3584905660377"/>
    <n v="240.96385542168676"/>
    <s v="Luisa"/>
    <s v="Luisa"/>
    <x v="4"/>
  </r>
  <r>
    <x v="48"/>
    <x v="0"/>
    <x v="54"/>
    <n v="0"/>
    <n v="0"/>
    <n v="0"/>
    <n v="0"/>
    <n v="0"/>
    <n v="0"/>
    <n v="0"/>
    <n v="0"/>
    <n v="0"/>
    <n v="0"/>
    <n v="1.7999999999999999E-2"/>
    <n v="4.4699999999999997E-2"/>
    <n v="0"/>
    <n v="0"/>
    <n v="0"/>
    <n v="0"/>
    <x v="0"/>
    <n v="0"/>
    <n v="0"/>
    <n v="0"/>
    <n v="0"/>
    <n v="6.2699999999999992E-2"/>
    <n v="0"/>
    <n v="411.03867999999994"/>
    <n v="0"/>
    <n v="0"/>
    <n v="0"/>
    <n v="0"/>
    <n v="4415.8599000000004"/>
    <n v="0"/>
    <n v="0"/>
    <n v="0"/>
    <s v="Luisa"/>
    <s v="Luisa"/>
    <x v="4"/>
  </r>
  <r>
    <x v="58"/>
    <x v="0"/>
    <x v="7"/>
    <n v="0"/>
    <n v="0"/>
    <n v="0"/>
    <n v="0"/>
    <n v="0.9036056174383067"/>
    <n v="0"/>
    <n v="0.58867924528301885"/>
    <n v="0.31492637215528785"/>
    <n v="0"/>
    <n v="0"/>
    <n v="1.7999999999999999E-2"/>
    <n v="4.4699999999999997E-2"/>
    <n v="-0.9036056174383067"/>
    <n v="0"/>
    <n v="0"/>
    <n v="0"/>
    <x v="0"/>
    <n v="1"/>
    <n v="0"/>
    <n v="0.96405165628753509"/>
    <n v="0.96405165628753509"/>
    <n v="6.2699999999999992E-2"/>
    <n v="0.9036056174383067"/>
    <n v="411.03867999999994"/>
    <n v="0"/>
    <n v="0"/>
    <n v="120.48192771084338"/>
    <n v="194.44444444444446"/>
    <n v="4415.8599000000004"/>
    <n v="0"/>
    <n v="588.67924528301887"/>
    <n v="314.92637215528782"/>
    <s v="Luisa"/>
    <s v="Luisa"/>
    <x v="4"/>
  </r>
  <r>
    <x v="5"/>
    <x v="0"/>
    <x v="5"/>
    <n v="0"/>
    <n v="0"/>
    <n v="0"/>
    <n v="0"/>
    <n v="0"/>
    <n v="0"/>
    <n v="0"/>
    <n v="0"/>
    <n v="0"/>
    <n v="0"/>
    <n v="1.7999999999999999E-2"/>
    <n v="4.4699999999999997E-2"/>
    <n v="0"/>
    <n v="0"/>
    <n v="0"/>
    <n v="0"/>
    <x v="0"/>
    <n v="0"/>
    <n v="0"/>
    <n v="0"/>
    <n v="0"/>
    <n v="6.2699999999999992E-2"/>
    <n v="0"/>
    <n v="411.03867999999994"/>
    <n v="0"/>
    <n v="0"/>
    <n v="0"/>
    <n v="0"/>
    <n v="4415.8599000000004"/>
    <n v="0"/>
    <n v="0"/>
    <n v="0"/>
    <s v="Luisa"/>
    <s v="Luisa"/>
    <x v="4"/>
  </r>
  <r>
    <x v="13"/>
    <x v="0"/>
    <x v="14"/>
    <n v="0"/>
    <n v="0"/>
    <n v="0.89200000000000002"/>
    <n v="-0.89200000000000002"/>
    <n v="0.8181011729938622"/>
    <n v="0"/>
    <n v="0.58867924528301885"/>
    <n v="0.22942192771084335"/>
    <n v="0"/>
    <n v="0"/>
    <n v="1.7999999999999999E-2"/>
    <n v="4.4699999999999997E-2"/>
    <n v="-1.7101011729938622"/>
    <n v="1.9171537813832535"/>
    <n v="0"/>
    <n v="0"/>
    <x v="0"/>
    <n v="1"/>
    <n v="0"/>
    <n v="1.8244971439174886"/>
    <n v="1.8244971439174886"/>
    <n v="6.2699999999999992E-2"/>
    <n v="0.8181011729938622"/>
    <n v="411.03867999999994"/>
    <n v="0"/>
    <n v="0"/>
    <n v="120.48192771084338"/>
    <n v="108.94"/>
    <n v="4415.8599000000004"/>
    <n v="0"/>
    <n v="588.67924528301887"/>
    <n v="229.42192771084336"/>
    <s v="Luisa"/>
    <s v="Luisa"/>
    <x v="4"/>
  </r>
  <r>
    <x v="58"/>
    <x v="0"/>
    <x v="8"/>
    <n v="0"/>
    <n v="0"/>
    <n v="10.891719999999999"/>
    <n v="-10.891719999999999"/>
    <n v="3.6366246919754488"/>
    <n v="0"/>
    <n v="2.3547169811320754"/>
    <n v="1.2819077108433734"/>
    <n v="0"/>
    <n v="0"/>
    <n v="1.7999999999999999E-2"/>
    <n v="4.4699999999999997E-2"/>
    <n v="-14.528344691975448"/>
    <n v="1.3338889258974203"/>
    <n v="0"/>
    <n v="0"/>
    <x v="0"/>
    <n v="4"/>
    <n v="0"/>
    <n v="15.500207715753172"/>
    <n v="3.875051928938293"/>
    <n v="6.2699999999999992E-2"/>
    <n v="3.6366246919754488"/>
    <n v="411.03867999999994"/>
    <n v="0"/>
    <n v="0"/>
    <n v="481.92771084337352"/>
    <n v="799.98"/>
    <n v="4415.8599000000004"/>
    <n v="0"/>
    <n v="2354.7169811320755"/>
    <n v="1281.9077108433735"/>
    <s v="Luisa"/>
    <s v="Luisa"/>
    <x v="4"/>
  </r>
  <r>
    <x v="0"/>
    <x v="0"/>
    <x v="0"/>
    <n v="0.525361968645493"/>
    <n v="8.2769600000000008"/>
    <n v="0.75636000000000003"/>
    <n v="7.5206000000000008"/>
    <n v="12.564503148944759"/>
    <n v="4.3483999999999998"/>
    <n v="5.2981132075471695"/>
    <n v="1.8196373493975906"/>
    <n v="1.0983525920000001"/>
    <n v="7.0000000000000007E-2"/>
    <n v="1.7999999999999999E-2"/>
    <n v="4.4699999999999997E-2"/>
    <n v="-5.0439031489447581"/>
    <n v="-0.67067829015567337"/>
    <n v="0.39736277860470509"/>
    <n v="9.1381376737352846E-2"/>
    <x v="0"/>
    <n v="9"/>
    <n v="0.5793872000000001"/>
    <n v="23.027887613885255"/>
    <n v="2.5586541793205839"/>
    <n v="0.65806196864549305"/>
    <n v="7.1177505569447597"/>
    <n v="411.03867999999994"/>
    <n v="2.0136693704835763E-2"/>
    <n v="1.8743710596434457E-3"/>
    <n v="1084.3373493975905"/>
    <n v="735.30000000000007"/>
    <n v="4415.8599000000004"/>
    <n v="1.8743710596434457E-3"/>
    <n v="5298.1132075471696"/>
    <n v="1819.6373493975907"/>
    <s v="Luisa"/>
    <s v="Luisa"/>
    <x v="4"/>
  </r>
  <r>
    <x v="1"/>
    <x v="0"/>
    <x v="1"/>
    <n v="0"/>
    <n v="0"/>
    <n v="1.0632000000000001"/>
    <n v="-1.0632000000000001"/>
    <n v="10.231261307047628"/>
    <n v="0"/>
    <n v="7.0641509433962266"/>
    <n v="3.1671103636514015"/>
    <n v="0"/>
    <n v="0"/>
    <n v="1.7999999999999999E-2"/>
    <n v="4.4699999999999997E-2"/>
    <n v="-11.294461307047628"/>
    <n v="10.623082493460897"/>
    <n v="0"/>
    <n v="0"/>
    <x v="0"/>
    <n v="12"/>
    <n v="0"/>
    <n v="12.049996060010272"/>
    <n v="1.0041663383341894"/>
    <n v="6.2699999999999992E-2"/>
    <n v="10.231261307047628"/>
    <n v="411.03867999999994"/>
    <n v="0"/>
    <n v="0"/>
    <n v="1445.7831325301206"/>
    <n v="1721.3272311212813"/>
    <n v="4415.8599000000004"/>
    <n v="0"/>
    <n v="7064.1509433962265"/>
    <n v="3167.1103636514017"/>
    <s v="Luisa"/>
    <s v="Luisa"/>
    <x v="4"/>
  </r>
  <r>
    <x v="6"/>
    <x v="0"/>
    <x v="6"/>
    <n v="0.53064705166904391"/>
    <n v="72.352800000000002"/>
    <n v="0"/>
    <n v="72.352800000000002"/>
    <n v="58.428923327901792"/>
    <n v="38.393799999999999"/>
    <n v="9.4188679245283016"/>
    <n v="3.9091508433734936"/>
    <n v="6.7071045600000003"/>
    <n v="0.03"/>
    <n v="1.7999999999999999E-2"/>
    <n v="4.4699999999999997E-2"/>
    <n v="13.92387667209821"/>
    <n v="0.1924441994241855"/>
    <n v="0"/>
    <n v="0"/>
    <x v="0"/>
    <n v="16"/>
    <n v="2.1705839999999998"/>
    <n v="35.385409372106601"/>
    <n v="2.2115880857566625"/>
    <n v="0.62334705166904392"/>
    <n v="13.328018767901796"/>
    <n v="411.03867999999994"/>
    <n v="0.17602430992625806"/>
    <n v="1.6384758945817098E-2"/>
    <n v="1927.7108433734941"/>
    <n v="1981.4399999999996"/>
    <n v="4415.8599000000004"/>
    <n v="1.6384758945817098E-2"/>
    <n v="9418.867924528302"/>
    <n v="3909.1508433734934"/>
    <s v="Luisa"/>
    <s v="Luisa"/>
    <x v="4"/>
  </r>
  <r>
    <x v="9"/>
    <x v="0"/>
    <x v="10"/>
    <n v="0.50137808261266392"/>
    <n v="4.4264400000000004"/>
    <n v="0"/>
    <n v="4.4264400000000004"/>
    <n v="2.4968577880000002"/>
    <n v="2.2193200000000002"/>
    <n v="0"/>
    <n v="0"/>
    <n v="0.27753778800000001"/>
    <n v="0"/>
    <n v="1.7999999999999999E-2"/>
    <n v="4.4699999999999997E-2"/>
    <n v="1.9295822120000001"/>
    <n v="0.4359219173873361"/>
    <n v="0"/>
    <n v="0"/>
    <x v="0"/>
    <n v="0"/>
    <n v="0"/>
    <n v="0"/>
    <n v="0"/>
    <n v="0.5640780826126639"/>
    <n v="0"/>
    <n v="411.03867999999994"/>
    <n v="1.0768913524148143E-2"/>
    <n v="1.0023959319905055E-3"/>
    <n v="0"/>
    <n v="0"/>
    <n v="4415.8599000000004"/>
    <n v="1.0023959319905055E-3"/>
    <n v="0"/>
    <n v="0"/>
    <s v="Luisa"/>
    <s v="Luisa"/>
    <x v="4"/>
  </r>
  <r>
    <x v="14"/>
    <x v="0"/>
    <x v="15"/>
    <n v="0"/>
    <n v="0"/>
    <n v="0"/>
    <n v="0"/>
    <n v="3.954305864969311"/>
    <n v="0"/>
    <n v="2.9433962264150941"/>
    <n v="1.0109096385542169"/>
    <n v="0"/>
    <n v="0"/>
    <n v="1.7999999999999999E-2"/>
    <n v="4.4699999999999997E-2"/>
    <n v="-3.954305864969311"/>
    <n v="0"/>
    <n v="0"/>
    <n v="0"/>
    <x v="0"/>
    <n v="5"/>
    <n v="0"/>
    <n v="4.218826272238676"/>
    <n v="0.8437652544477352"/>
    <n v="6.2699999999999992E-2"/>
    <n v="3.954305864969311"/>
    <n v="411.03867999999994"/>
    <n v="0"/>
    <n v="0"/>
    <n v="602.40963855421694"/>
    <n v="408.5"/>
    <n v="4415.8599000000004"/>
    <n v="0"/>
    <n v="2943.3962264150941"/>
    <n v="1010.9096385542169"/>
    <s v="Luisa"/>
    <s v="Luisa"/>
    <x v="4"/>
  </r>
  <r>
    <x v="15"/>
    <x v="0"/>
    <x v="16"/>
    <n v="0.51433570012306018"/>
    <n v="84.023800000000008"/>
    <n v="13.11782"/>
    <n v="70.905980000000014"/>
    <n v="60.87898232082722"/>
    <n v="43.216439999999992"/>
    <n v="6.4754716981132079"/>
    <n v="3.3980643627140137"/>
    <n v="7.7890062600000007"/>
    <n v="0.03"/>
    <n v="1.7999999999999999E-2"/>
    <n v="4.4699999999999997E-2"/>
    <n v="10.026997679172794"/>
    <n v="0.14141258155056585"/>
    <n v="6.7469631337882809"/>
    <n v="0.15612028972743436"/>
    <x v="0"/>
    <n v="11"/>
    <n v="2.5207140000000003"/>
    <n v="58.50749309295314"/>
    <n v="5.3188630084502853"/>
    <n v="0.60703570012306018"/>
    <n v="9.873536060827222"/>
    <n v="411.03867999999994"/>
    <n v="0.20441823139369761"/>
    <n v="1.9027732288336412E-2"/>
    <n v="1325.3012048192772"/>
    <n v="2072.7631578947367"/>
    <n v="4415.8599000000004"/>
    <n v="1.9027732288336412E-2"/>
    <n v="6475.4716981132078"/>
    <n v="3398.0643627140139"/>
    <s v="Luisa"/>
    <s v="Luisa"/>
    <x v="4"/>
  </r>
  <r>
    <x v="51"/>
    <x v="0"/>
    <x v="58"/>
    <n v="0"/>
    <n v="0"/>
    <n v="0"/>
    <n v="0"/>
    <n v="0.70916117299386228"/>
    <n v="0"/>
    <n v="0.58867924528301885"/>
    <n v="0.12048192771084337"/>
    <n v="0"/>
    <n v="0"/>
    <n v="1.7999999999999999E-2"/>
    <n v="4.4699999999999997E-2"/>
    <n v="-0.70916117299386228"/>
    <n v="0"/>
    <n v="0"/>
    <n v="0"/>
    <x v="0"/>
    <n v="1"/>
    <n v="0"/>
    <n v="0.75659999252519183"/>
    <n v="0.75659999252519183"/>
    <n v="6.2699999999999992E-2"/>
    <n v="0.70916117299386228"/>
    <n v="411.03867999999994"/>
    <n v="0"/>
    <n v="0"/>
    <n v="120.48192771084338"/>
    <n v="0"/>
    <n v="4415.8599000000004"/>
    <n v="0"/>
    <n v="588.67924528301887"/>
    <n v="120.48192771084338"/>
    <s v="Luisa"/>
    <s v="Luisa"/>
    <x v="4"/>
  </r>
  <r>
    <x v="18"/>
    <x v="0"/>
    <x v="19"/>
    <n v="0"/>
    <n v="0"/>
    <n v="0"/>
    <n v="0"/>
    <n v="4.2458058649693111"/>
    <n v="0"/>
    <n v="2.9433962264150941"/>
    <n v="1.302409638554217"/>
    <n v="0"/>
    <n v="0"/>
    <n v="1.7999999999999999E-2"/>
    <n v="4.4699999999999997E-2"/>
    <n v="-4.2458058649693111"/>
    <n v="0"/>
    <n v="0"/>
    <n v="0"/>
    <x v="0"/>
    <n v="5"/>
    <n v="0"/>
    <n v="4.5298259521703947"/>
    <n v="0.90596519043407897"/>
    <n v="6.2699999999999992E-2"/>
    <n v="4.2458058649693111"/>
    <n v="411.03867999999994"/>
    <n v="0"/>
    <n v="0"/>
    <n v="602.40963855421694"/>
    <n v="700"/>
    <n v="4415.8599000000004"/>
    <n v="0"/>
    <n v="2943.3962264150941"/>
    <n v="1302.4096385542171"/>
    <s v="Luisa"/>
    <s v="Luisa"/>
    <x v="4"/>
  </r>
  <r>
    <x v="2"/>
    <x v="0"/>
    <x v="2"/>
    <n v="0"/>
    <n v="0"/>
    <n v="0"/>
    <n v="0"/>
    <n v="1.6683223459877246"/>
    <n v="0"/>
    <n v="1.1773584905660377"/>
    <n v="0.49096385542168675"/>
    <n v="0"/>
    <n v="0"/>
    <n v="1.7999999999999999E-2"/>
    <n v="4.4699999999999997E-2"/>
    <n v="-1.6683223459877246"/>
    <n v="0"/>
    <n v="0"/>
    <n v="0"/>
    <x v="0"/>
    <n v="2"/>
    <n v="0"/>
    <n v="1.7799235527448249"/>
    <n v="0.88996177637241247"/>
    <n v="6.2699999999999992E-2"/>
    <n v="1.6683223459877246"/>
    <n v="411.03867999999994"/>
    <n v="0"/>
    <n v="0"/>
    <n v="240.96385542168676"/>
    <n v="250"/>
    <n v="4415.8599000000004"/>
    <n v="0"/>
    <n v="1177.3584905660377"/>
    <n v="490.96385542168673"/>
    <s v="Luisa"/>
    <s v="Luisa"/>
    <x v="4"/>
  </r>
  <r>
    <x v="3"/>
    <x v="0"/>
    <x v="3"/>
    <n v="0"/>
    <n v="0"/>
    <n v="0"/>
    <n v="0"/>
    <n v="0"/>
    <n v="0"/>
    <n v="0"/>
    <n v="0"/>
    <n v="0"/>
    <n v="0"/>
    <n v="1.7999999999999999E-2"/>
    <n v="4.4699999999999997E-2"/>
    <n v="0"/>
    <n v="0"/>
    <n v="0"/>
    <n v="0"/>
    <x v="0"/>
    <n v="0"/>
    <n v="0"/>
    <n v="0"/>
    <n v="0"/>
    <n v="6.2699999999999992E-2"/>
    <n v="0"/>
    <n v="411.03867999999994"/>
    <n v="0"/>
    <n v="0"/>
    <n v="0"/>
    <n v="0"/>
    <n v="4415.8599000000004"/>
    <n v="0"/>
    <n v="0"/>
    <n v="0"/>
    <s v="Luisa"/>
    <s v="Luisa"/>
    <x v="4"/>
  </r>
  <r>
    <x v="8"/>
    <x v="0"/>
    <x v="9"/>
    <n v="0.51252716422715616"/>
    <n v="17.394199999999998"/>
    <n v="0"/>
    <n v="17.394199999999998"/>
    <n v="17.285222550957034"/>
    <n v="8.9149999999999991"/>
    <n v="4.120754716981132"/>
    <n v="1.5933734939759039"/>
    <n v="2.6560943399999997"/>
    <n v="0.09"/>
    <n v="1.7999999999999999E-2"/>
    <n v="4.4699999999999997E-2"/>
    <n v="0.10897744904296403"/>
    <n v="6.2651601708019937E-3"/>
    <n v="0"/>
    <n v="0"/>
    <x v="0"/>
    <n v="7"/>
    <n v="1.5654779999999997"/>
    <n v="17.068673441695516"/>
    <n v="2.4383819202422168"/>
    <n v="0.66522716422715611"/>
    <n v="5.7141282109570355"/>
    <n v="411.03867999999994"/>
    <n v="4.2317671903773148E-2"/>
    <n v="3.9390289533415669E-3"/>
    <n v="843.37349397590367"/>
    <n v="750"/>
    <n v="4415.8599000000004"/>
    <n v="3.9390289533415669E-3"/>
    <n v="4120.7547169811323"/>
    <n v="1593.3734939759038"/>
    <s v="Luisa"/>
    <s v="Luisa"/>
    <x v="4"/>
  </r>
  <r>
    <x v="11"/>
    <x v="0"/>
    <x v="12"/>
    <n v="0"/>
    <n v="0"/>
    <n v="0"/>
    <n v="0"/>
    <n v="0"/>
    <n v="0"/>
    <n v="0"/>
    <n v="0"/>
    <n v="0"/>
    <n v="0"/>
    <n v="1.7999999999999999E-2"/>
    <n v="4.4699999999999997E-2"/>
    <n v="0"/>
    <n v="0"/>
    <n v="0"/>
    <n v="0"/>
    <x v="0"/>
    <n v="0"/>
    <n v="0"/>
    <n v="0"/>
    <n v="0"/>
    <n v="6.2699999999999992E-2"/>
    <n v="0"/>
    <n v="411.03867999999994"/>
    <n v="0"/>
    <n v="0"/>
    <n v="0"/>
    <n v="0"/>
    <n v="4415.8599000000004"/>
    <n v="0"/>
    <n v="0"/>
    <n v="0"/>
    <s v="Luisa"/>
    <s v="Luisa"/>
    <x v="4"/>
  </r>
  <r>
    <x v="57"/>
    <x v="0"/>
    <x v="57"/>
    <n v="0.5517801445963233"/>
    <n v="2.7829199999999998"/>
    <n v="0"/>
    <n v="2.7829199999999998"/>
    <n v="1.710049084"/>
    <n v="1.53556"/>
    <n v="0"/>
    <n v="0"/>
    <n v="0.17448908399999996"/>
    <n v="0"/>
    <n v="1.7999999999999999E-2"/>
    <n v="4.4699999999999997E-2"/>
    <n v="1.0728709159999998"/>
    <n v="0.38551985540367667"/>
    <n v="0"/>
    <n v="0"/>
    <x v="0"/>
    <n v="0"/>
    <n v="0"/>
    <n v="0"/>
    <n v="0"/>
    <n v="0.61448014459632327"/>
    <n v="0"/>
    <n v="411.03867999999994"/>
    <n v="6.7704577097221124E-3"/>
    <n v="6.3021021115275866E-4"/>
    <n v="0"/>
    <n v="0"/>
    <n v="4415.8599000000004"/>
    <n v="6.3021021115275866E-4"/>
    <n v="0"/>
    <n v="0"/>
    <s v="Luisa"/>
    <s v="Luisa"/>
    <x v="4"/>
  </r>
  <r>
    <x v="26"/>
    <x v="0"/>
    <x v="27"/>
    <n v="0.63172944031515599"/>
    <n v="219.55039999999991"/>
    <n v="1.2363999999999999"/>
    <n v="218.31399999999991"/>
    <n v="157.46226139296857"/>
    <n v="138.69645131296858"/>
    <n v="5"/>
    <n v="0"/>
    <n v="13.765810079999993"/>
    <n v="0"/>
    <n v="1.7999999999999999E-2"/>
    <n v="4.4699999999999997E-2"/>
    <n v="60.851738607031336"/>
    <n v="0.27873493503408558"/>
    <n v="0.78107028000565881"/>
    <n v="5.6315087560760554E-3"/>
    <x v="0"/>
    <n v="0"/>
    <n v="0"/>
    <n v="20.409034189785917"/>
    <n v="20.409034189785917"/>
    <n v="0.69442944031515597"/>
    <n v="5"/>
    <n v="411.03867999999994"/>
    <n v="0.53413561954801902"/>
    <n v="4.9718606335314192E-2"/>
    <n v="0"/>
    <n v="0"/>
    <n v="4415.8599000000004"/>
    <n v="4.9718606335314192E-2"/>
    <n v="0"/>
    <n v="0"/>
    <s v="Luisa"/>
    <s v="Luisa"/>
    <x v="4"/>
  </r>
  <r>
    <x v="37"/>
    <x v="3"/>
    <x v="40"/>
    <n v="0.56543540669856462"/>
    <n v="104.5"/>
    <n v="28.603200000000001"/>
    <n v="75.896799999999999"/>
    <n v="94.816379997611648"/>
    <n v="59.088000000000001"/>
    <n v="15.305660377358491"/>
    <n v="8.6455696202531662"/>
    <n v="11.777149999999999"/>
    <n v="0.05"/>
    <n v="1.7999999999999999E-2"/>
    <n v="4.4699999999999997E-2"/>
    <n v="-18.919579997611649"/>
    <n v="-0.24928033853353038"/>
    <n v="16.173262024880383"/>
    <n v="0.27371483253588519"/>
    <x v="0"/>
    <n v="26"/>
    <n v="5.2250000000000005"/>
    <n v="163.28117814559658"/>
    <n v="6.2800453132921765"/>
    <n v="0.67813540669856465"/>
    <n v="23.951229997611655"/>
    <n v="1185.3776000000005"/>
    <n v="8.8157562619708654E-2"/>
    <n v="2.3664700050832679E-2"/>
    <n v="1645.5696202531647"/>
    <n v="7000"/>
    <n v="4415.8599000000004"/>
    <n v="2.3664700050832679E-2"/>
    <n v="15305.66037735849"/>
    <n v="8645.5696202531653"/>
    <s v="Luiz"/>
    <s v="Luiz"/>
    <x v="4"/>
  </r>
  <r>
    <x v="41"/>
    <x v="3"/>
    <x v="46"/>
    <n v="0"/>
    <n v="0"/>
    <n v="124.33771"/>
    <n v="-124.33771"/>
    <n v="21.343348459517554"/>
    <n v="0"/>
    <n v="12.950943396226416"/>
    <n v="8.3924050632911378"/>
    <n v="0"/>
    <n v="0.05"/>
    <n v="1.7999999999999999E-2"/>
    <n v="4.4699999999999997E-2"/>
    <n v="-145.68105845951754"/>
    <n v="1.1716562775646868"/>
    <n v="0"/>
    <n v="0"/>
    <x v="0"/>
    <n v="22"/>
    <n v="0"/>
    <n v="164.18467086613046"/>
    <n v="7.4629395848241122"/>
    <n v="0.11269999999999999"/>
    <n v="21.343348459517554"/>
    <n v="1185.3776000000005"/>
    <n v="0"/>
    <n v="0"/>
    <n v="1392.4050632911394"/>
    <n v="7000"/>
    <n v="4415.8599000000004"/>
    <n v="0"/>
    <n v="12950.943396226416"/>
    <n v="8392.4050632911385"/>
    <s v="Luiz"/>
    <s v="Luiz"/>
    <x v="4"/>
  </r>
  <r>
    <x v="27"/>
    <x v="3"/>
    <x v="28"/>
    <n v="0"/>
    <n v="0"/>
    <n v="6.5611999999999995"/>
    <n v="-6.5611999999999995"/>
    <n v="3.3856593158718784"/>
    <n v="0"/>
    <n v="2.3547169811320754"/>
    <n v="1.030942334739803"/>
    <n v="0"/>
    <n v="0"/>
    <n v="1.7999999999999999E-2"/>
    <n v="4.4699999999999997E-2"/>
    <n v="-9.9468593158718779"/>
    <n v="1.5160122105517098"/>
    <n v="0"/>
    <n v="0"/>
    <x v="0"/>
    <n v="4"/>
    <n v="0"/>
    <n v="10.612247216336154"/>
    <n v="2.6530618040840386"/>
    <n v="6.2699999999999992E-2"/>
    <n v="3.3856593158718784"/>
    <n v="1185.3776000000005"/>
    <n v="0"/>
    <n v="0"/>
    <n v="253.16455696202533"/>
    <n v="777.77777777777783"/>
    <n v="4415.8599000000004"/>
    <n v="0"/>
    <n v="2354.7169811320755"/>
    <n v="1030.9423347398031"/>
    <s v="Luiz"/>
    <s v="Luiz"/>
    <x v="4"/>
  </r>
  <r>
    <x v="34"/>
    <x v="3"/>
    <x v="37"/>
    <n v="0.53294269355153234"/>
    <n v="64.699800000000124"/>
    <n v="40.172969999999999"/>
    <n v="24.526830000000125"/>
    <n v="55.714424065668972"/>
    <n v="34.481285684245499"/>
    <n v="10.596226415094339"/>
    <n v="4.6392405063291138"/>
    <n v="5.9976714600000118"/>
    <n v="0.03"/>
    <n v="1.7999999999999999E-2"/>
    <n v="4.4699999999999997E-2"/>
    <n v="-31.187594065668847"/>
    <n v="-1.2715705236130674"/>
    <n v="21.409890839764902"/>
    <n v="0.62091335676462556"/>
    <x v="0"/>
    <n v="18"/>
    <n v="1.9409940000000037"/>
    <n v="148.0094977899162"/>
    <n v="8.2227498772175664"/>
    <n v="0.62564269355153235"/>
    <n v="15.235466921423452"/>
    <n v="1185.3776000000005"/>
    <n v="5.4581594928063512E-2"/>
    <n v="1.4651687658840834E-2"/>
    <n v="1139.2405063291139"/>
    <n v="3500"/>
    <n v="4415.8599000000004"/>
    <n v="1.4651687658840834E-2"/>
    <n v="10596.226415094339"/>
    <n v="4639.2405063291135"/>
    <s v="Luiz"/>
    <s v="Luiz"/>
    <x v="4"/>
  </r>
  <r>
    <x v="43"/>
    <x v="3"/>
    <x v="49"/>
    <n v="0.5156156469827291"/>
    <n v="99.566799999999986"/>
    <n v="0"/>
    <n v="99.566799999999986"/>
    <n v="67.840890282617607"/>
    <n v="51.338199999999986"/>
    <n v="2.9433962264150941"/>
    <n v="7.3164556962025316"/>
    <n v="6.2428383599999986"/>
    <n v="0"/>
    <n v="1.7999999999999999E-2"/>
    <n v="4.4699999999999997E-2"/>
    <n v="31.725909717382379"/>
    <n v="0.31863944324194793"/>
    <n v="0"/>
    <n v="0"/>
    <x v="0"/>
    <n v="5"/>
    <n v="0"/>
    <n v="24.330644116162912"/>
    <n v="4.8661288232325823"/>
    <n v="0.57831564698272908"/>
    <n v="10.259851922617626"/>
    <n v="1185.3776000000005"/>
    <n v="8.3995850773626854E-2"/>
    <n v="2.2547545043265522E-2"/>
    <n v="316.45569620253167"/>
    <n v="7000"/>
    <n v="4415.8599000000004"/>
    <n v="2.2547545043265522E-2"/>
    <n v="2943.3962264150941"/>
    <n v="7316.4556962025317"/>
    <s v="Luiz"/>
    <s v="Luiz"/>
    <x v="4"/>
  </r>
  <r>
    <x v="32"/>
    <x v="3"/>
    <x v="34"/>
    <n v="0.5897312650207559"/>
    <n v="91.54"/>
    <n v="0"/>
    <n v="91.54"/>
    <n v="69.732491460711728"/>
    <n v="53.984000000000002"/>
    <n v="5.2981132075471695"/>
    <n v="1.9646202531645569"/>
    <n v="8.4857580000000006"/>
    <n v="0.03"/>
    <n v="1.7999999999999999E-2"/>
    <n v="4.4699999999999997E-2"/>
    <n v="21.807508539288278"/>
    <n v="0.23822928271016253"/>
    <n v="0"/>
    <n v="0"/>
    <x v="0"/>
    <n v="9"/>
    <n v="2.7462"/>
    <n v="22.869800017266844"/>
    <n v="2.5410888908074272"/>
    <n v="0.68243126502075591"/>
    <n v="7.2627334607117264"/>
    <n v="1185.3776000000005"/>
    <n v="7.7224337628785944E-2"/>
    <n v="2.0729824331609796E-2"/>
    <n v="569.62025316455697"/>
    <n v="1395"/>
    <n v="4415.8599000000004"/>
    <n v="2.0729824331609796E-2"/>
    <n v="5298.1132075471696"/>
    <n v="1964.620253164557"/>
    <s v="Luiz"/>
    <s v="Luiz"/>
    <x v="4"/>
  </r>
  <r>
    <x v="59"/>
    <x v="3"/>
    <x v="29"/>
    <n v="0"/>
    <n v="0"/>
    <n v="0"/>
    <n v="0"/>
    <n v="0.95197038452352523"/>
    <n v="0"/>
    <n v="0.58867924528301885"/>
    <n v="0.36329113924050632"/>
    <n v="0"/>
    <n v="0"/>
    <n v="1.7999999999999999E-2"/>
    <n v="4.4699999999999997E-2"/>
    <n v="-0.95197038452352523"/>
    <n v="0"/>
    <n v="0"/>
    <n v="0"/>
    <x v="0"/>
    <n v="1"/>
    <n v="0"/>
    <n v="1.0156517491982557"/>
    <n v="1.0156517491982557"/>
    <n v="6.2699999999999992E-2"/>
    <n v="0.95197038452352523"/>
    <n v="1185.3776000000005"/>
    <n v="0"/>
    <n v="0"/>
    <n v="63.291139240506332"/>
    <n v="300"/>
    <n v="4415.8599000000004"/>
    <n v="0"/>
    <n v="588.67924528301887"/>
    <n v="363.29113924050631"/>
    <s v="Luiz"/>
    <s v="Luiz"/>
    <x v="4"/>
  </r>
  <r>
    <x v="60"/>
    <x v="3"/>
    <x v="43"/>
    <n v="0"/>
    <n v="0"/>
    <n v="0"/>
    <n v="0"/>
    <n v="2.4059111535705755"/>
    <n v="0"/>
    <n v="1.7660377358490567"/>
    <n v="0.63987341772151896"/>
    <n v="0"/>
    <n v="0.03"/>
    <n v="1.7999999999999999E-2"/>
    <n v="4.4699999999999997E-2"/>
    <n v="-2.4059111535705755"/>
    <n v="0"/>
    <n v="0"/>
    <n v="0"/>
    <x v="0"/>
    <n v="3"/>
    <n v="0"/>
    <n v="2.6517261694815115"/>
    <n v="0.88390872316050384"/>
    <n v="9.2700000000000005E-2"/>
    <n v="2.4059111535705755"/>
    <n v="1185.3776000000005"/>
    <n v="0"/>
    <n v="0"/>
    <n v="189.87341772151899"/>
    <n v="450"/>
    <n v="4415.8599000000004"/>
    <n v="0"/>
    <n v="1766.0377358490566"/>
    <n v="639.87341772151899"/>
    <s v="Luiz"/>
    <s v="Luiz"/>
    <x v="4"/>
  </r>
  <r>
    <x v="28"/>
    <x v="3"/>
    <x v="30"/>
    <n v="0.53500955566172947"/>
    <n v="16.744"/>
    <n v="50.689159999999994"/>
    <n v="-33.945159999999994"/>
    <n v="14.798346072816207"/>
    <n v="8.9581999999999979"/>
    <n v="3.5320754716981133"/>
    <n v="1.2582218011180952"/>
    <n v="1.0498487999999999"/>
    <n v="0"/>
    <n v="1.7999999999999999E-2"/>
    <n v="4.4699999999999997E-2"/>
    <n v="-48.743506072816203"/>
    <n v="1.4359486322296378"/>
    <n v="27.119184968466307"/>
    <n v="3.0273029144768273"/>
    <x v="0"/>
    <n v="6"/>
    <n v="0"/>
    <n v="137.90896118369062"/>
    <n v="22.984826863948438"/>
    <n v="0.59770955566172945"/>
    <n v="4.7902972728162085"/>
    <n v="1185.3776000000005"/>
    <n v="1.4125456732099537E-2"/>
    <n v="3.7917869631688265E-3"/>
    <n v="379.74683544303798"/>
    <n v="878.47496567505721"/>
    <n v="4415.8599000000004"/>
    <n v="3.7917869631688265E-3"/>
    <n v="3532.0754716981132"/>
    <n v="1258.2218011180953"/>
    <s v="Luiz"/>
    <s v="Luiz"/>
    <x v="4"/>
  </r>
  <r>
    <x v="29"/>
    <x v="3"/>
    <x v="31"/>
    <n v="0"/>
    <n v="0"/>
    <n v="39.156289999999998"/>
    <n v="-39.156289999999998"/>
    <n v="54.736806532123246"/>
    <n v="0"/>
    <n v="40.618867924528303"/>
    <n v="14.117938607594944"/>
    <n v="0"/>
    <n v="5.5E-2"/>
    <n v="1.7999999999999999E-2"/>
    <n v="4.4699999999999997E-2"/>
    <n v="-93.893096532123252"/>
    <n v="2.3979058417465815"/>
    <n v="0"/>
    <n v="0"/>
    <x v="0"/>
    <n v="69"/>
    <n v="0"/>
    <n v="106.41856118341069"/>
    <n v="1.5422979881653722"/>
    <n v="0.1177"/>
    <n v="54.736806532123246"/>
    <n v="1185.3776000000005"/>
    <n v="0"/>
    <n v="0"/>
    <n v="4367.0886075949365"/>
    <n v="9750.8500000000076"/>
    <n v="4415.8599000000004"/>
    <n v="0"/>
    <n v="40618.867924528306"/>
    <n v="14117.938607594944"/>
    <s v="Luiz"/>
    <s v="Luiz"/>
    <x v="4"/>
  </r>
  <r>
    <x v="30"/>
    <x v="3"/>
    <x v="32"/>
    <n v="0.55501883201036784"/>
    <n v="158.02880000000016"/>
    <n v="15.14189"/>
    <n v="142.88691000000017"/>
    <n v="189.79503807996619"/>
    <n v="87.708960000000104"/>
    <n v="61.222641509433963"/>
    <n v="26.214166810532092"/>
    <n v="14.649269760000015"/>
    <n v="0.03"/>
    <n v="1.7999999999999999E-2"/>
    <n v="4.4699999999999997E-2"/>
    <n v="-46.908128079966019"/>
    <n v="-0.32828849108687397"/>
    <n v="8.4040341022294687"/>
    <n v="9.5817281406933325E-2"/>
    <x v="0"/>
    <n v="104"/>
    <n v="4.7408640000000046"/>
    <n v="291.18416662847278"/>
    <n v="2.7998477560430075"/>
    <n v="0.64771883201036784"/>
    <n v="87.436808319966048"/>
    <n v="1185.3776000000005"/>
    <n v="0.13331515628437732"/>
    <n v="3.5786642597062497E-2"/>
    <n v="6582.2784810126586"/>
    <n v="19631.888329519436"/>
    <n v="4415.8599000000004"/>
    <n v="3.5786642597062497E-2"/>
    <n v="61222.641509433961"/>
    <n v="26214.166810532093"/>
    <s v="Luiz"/>
    <s v="Luiz"/>
    <x v="4"/>
  </r>
  <r>
    <x v="35"/>
    <x v="3"/>
    <x v="38"/>
    <n v="0.55850340136054388"/>
    <n v="125.18520000000004"/>
    <n v="35.547060000000002"/>
    <n v="89.638140000000035"/>
    <n v="109.42202152120666"/>
    <n v="69.916359999999983"/>
    <n v="20.60377358490566"/>
    <n v="7.2972198963010175"/>
    <n v="11.604668040000004"/>
    <n v="0.03"/>
    <n v="1.7999999999999999E-2"/>
    <n v="4.4699999999999997E-2"/>
    <n v="-19.783881521206624"/>
    <n v="-0.22070830029724642"/>
    <n v="19.853153918367337"/>
    <n v="0.28395577112949449"/>
    <x v="0"/>
    <n v="35"/>
    <n v="3.7555560000000008"/>
    <n v="181.90559692582218"/>
    <n v="5.1973027693092053"/>
    <n v="0.65120340136054389"/>
    <n v="27.900993481206676"/>
    <n v="1185.3776000000005"/>
    <n v="0.10560786706278234"/>
    <n v="2.8348997213430621E-2"/>
    <n v="2215.1898734177216"/>
    <n v="5082.0300228832957"/>
    <n v="4415.8599000000004"/>
    <n v="2.8348997213430621E-2"/>
    <n v="20603.773584905659"/>
    <n v="7297.2198963010178"/>
    <s v="Luiz"/>
    <s v="Luiz"/>
    <x v="4"/>
  </r>
  <r>
    <x v="44"/>
    <x v="3"/>
    <x v="50"/>
    <n v="0"/>
    <n v="0"/>
    <n v="63.439339999999994"/>
    <n v="-63.439339999999994"/>
    <n v="27.338343188216335"/>
    <n v="0"/>
    <n v="20.015094339622642"/>
    <n v="7.3232488485936909"/>
    <n v="0"/>
    <n v="0.03"/>
    <n v="1.7999999999999999E-2"/>
    <n v="4.4699999999999997E-2"/>
    <n v="-90.777683188216329"/>
    <n v="1.4309367529393644"/>
    <n v="0"/>
    <n v="0"/>
    <x v="0"/>
    <n v="34"/>
    <n v="0"/>
    <n v="100.05255504046769"/>
    <n v="2.9427222070725794"/>
    <n v="9.2700000000000005E-2"/>
    <n v="27.338343188216335"/>
    <n v="1185.3776000000005"/>
    <n v="0"/>
    <n v="0"/>
    <n v="2151.8987341772154"/>
    <n v="5171.3501144164757"/>
    <n v="4415.8599000000004"/>
    <n v="0"/>
    <n v="20015.094339622643"/>
    <n v="7323.248848593691"/>
    <s v="Luiz"/>
    <s v="Luiz"/>
    <x v="4"/>
  </r>
  <r>
    <x v="45"/>
    <x v="3"/>
    <x v="51"/>
    <n v="0.57720786312340733"/>
    <n v="54.939999999999984"/>
    <n v="0.25800000000000001"/>
    <n v="54.681999999999981"/>
    <n v="52.93232338332934"/>
    <n v="31.71179999999999"/>
    <n v="8.2415094339622641"/>
    <n v="7.8860759493670889"/>
    <n v="5.0929379999999984"/>
    <n v="0.03"/>
    <n v="1.7999999999999999E-2"/>
    <n v="4.4699999999999997E-2"/>
    <n v="1.7496766166706408"/>
    <n v="3.199730471948066E-2"/>
    <n v="0.14891962868583911"/>
    <n v="4.6960320349472163E-3"/>
    <x v="0"/>
    <n v="14"/>
    <n v="1.6481999999999994"/>
    <n v="49.639429579794033"/>
    <n v="3.5456735414138594"/>
    <n v="0.66990786312340733"/>
    <n v="16.127585383329354"/>
    <n v="1185.3776000000005"/>
    <n v="4.6348100385902313E-2"/>
    <n v="1.2441517902322938E-2"/>
    <n v="886.0759493670887"/>
    <n v="7000"/>
    <n v="4415.8599000000004"/>
    <n v="1.2441517902322938E-2"/>
    <n v="8241.5094339622647"/>
    <n v="7886.0759493670885"/>
    <s v="Luiz"/>
    <s v="Luiz"/>
    <x v="4"/>
  </r>
  <r>
    <x v="60"/>
    <x v="3"/>
    <x v="44"/>
    <n v="0"/>
    <n v="0"/>
    <n v="0"/>
    <n v="0"/>
    <n v="0.8019703845235252"/>
    <n v="0"/>
    <n v="0.58867924528301885"/>
    <n v="0.21329113924050633"/>
    <n v="0"/>
    <n v="0.03"/>
    <n v="1.7999999999999999E-2"/>
    <n v="4.4699999999999997E-2"/>
    <n v="-0.8019703845235252"/>
    <n v="0"/>
    <n v="0"/>
    <n v="0"/>
    <x v="0"/>
    <n v="1"/>
    <n v="0"/>
    <n v="0.88390872316050395"/>
    <n v="0.88390872316050395"/>
    <n v="9.2700000000000005E-2"/>
    <n v="0.8019703845235252"/>
    <n v="1185.3776000000005"/>
    <n v="0"/>
    <n v="0"/>
    <n v="63.291139240506332"/>
    <n v="150"/>
    <n v="4415.8599000000004"/>
    <n v="0"/>
    <n v="588.67924528301887"/>
    <n v="213.29113924050634"/>
    <s v="Luiz"/>
    <s v="Luiz"/>
    <x v="4"/>
  </r>
  <r>
    <x v="60"/>
    <x v="3"/>
    <x v="45"/>
    <n v="0"/>
    <n v="0"/>
    <n v="0"/>
    <n v="0"/>
    <n v="3.2078815380941008"/>
    <n v="0"/>
    <n v="2.3547169811320754"/>
    <n v="0.85316455696202531"/>
    <n v="0"/>
    <n v="0.03"/>
    <n v="1.7999999999999999E-2"/>
    <n v="4.4699999999999997E-2"/>
    <n v="-3.2078815380941008"/>
    <n v="0"/>
    <n v="0"/>
    <n v="0"/>
    <x v="0"/>
    <n v="4"/>
    <n v="0"/>
    <n v="3.5356348926420158"/>
    <n v="0.88390872316050395"/>
    <n v="9.2700000000000005E-2"/>
    <n v="3.2078815380941008"/>
    <n v="1185.3776000000005"/>
    <n v="0"/>
    <n v="0"/>
    <n v="253.16455696202533"/>
    <n v="600"/>
    <n v="4415.8599000000004"/>
    <n v="0"/>
    <n v="2354.7169811320755"/>
    <n v="853.16455696202536"/>
    <s v="Luiz"/>
    <s v="Luiz"/>
    <x v="4"/>
  </r>
  <r>
    <x v="60"/>
    <x v="3"/>
    <x v="62"/>
    <n v="0"/>
    <n v="0"/>
    <n v="0"/>
    <n v="0"/>
    <n v="0"/>
    <n v="0"/>
    <n v="0"/>
    <n v="0"/>
    <n v="0"/>
    <n v="0.03"/>
    <n v="1.7999999999999999E-2"/>
    <n v="4.4699999999999997E-2"/>
    <n v="0"/>
    <n v="0"/>
    <n v="0"/>
    <n v="0"/>
    <x v="0"/>
    <n v="0"/>
    <n v="0"/>
    <n v="0"/>
    <n v="0"/>
    <n v="9.2700000000000005E-2"/>
    <n v="0"/>
    <n v="1185.3776000000005"/>
    <n v="0"/>
    <n v="0"/>
    <n v="0"/>
    <n v="0"/>
    <n v="4415.8599000000004"/>
    <n v="0"/>
    <n v="0"/>
    <n v="0"/>
    <s v="Luiz"/>
    <s v="Luiz"/>
    <x v="4"/>
  </r>
  <r>
    <x v="32"/>
    <x v="3"/>
    <x v="35"/>
    <n v="0.60226415094339625"/>
    <n v="7.9500000000000011"/>
    <n v="7.8150000000000004"/>
    <n v="0.13500000000000068"/>
    <n v="6.1769353845235262"/>
    <n v="4.7880000000000011"/>
    <n v="0.58867924528301885"/>
    <n v="6.3291139240506333E-2"/>
    <n v="0.73696500000000009"/>
    <n v="0.03"/>
    <n v="1.7999999999999999E-2"/>
    <n v="4.4699999999999997E-2"/>
    <n v="-6.0419353845235255"/>
    <n v="-44.755076922396263"/>
    <n v="4.7066943396226417"/>
    <n v="0.98301886792452819"/>
    <x v="0"/>
    <n v="1"/>
    <n v="0.23850000000000002"/>
    <n v="27.757296103751919"/>
    <n v="27.757296103751919"/>
    <n v="0.69496415094339625"/>
    <n v="0.65197038452352518"/>
    <n v="1185.3776000000005"/>
    <n v="6.7067236634132431E-3"/>
    <n v="1.8003288555418166E-3"/>
    <n v="63.291139240506332"/>
    <n v="0"/>
    <n v="4415.8599000000004"/>
    <n v="1.8003288555418166E-3"/>
    <n v="588.67924528301887"/>
    <n v="63.291139240506332"/>
    <s v="Luiz"/>
    <s v="Luiz"/>
    <x v="4"/>
  </r>
  <r>
    <x v="47"/>
    <x v="3"/>
    <x v="53"/>
    <n v="0.54984977605368868"/>
    <n v="341.82300000000015"/>
    <n v="106.33722"/>
    <n v="235.48578000000015"/>
    <n v="252.06513709641763"/>
    <n v="187.95130000000012"/>
    <n v="22.958490566037739"/>
    <n v="9.4683544303797458"/>
    <n v="31.686992100000015"/>
    <n v="0.03"/>
    <n v="1.7999999999999999E-2"/>
    <n v="4.4699999999999997E-2"/>
    <n v="-16.579357096417482"/>
    <n v="-7.0404918277517534E-2"/>
    <n v="58.469496603171827"/>
    <n v="0.31108854582634859"/>
    <x v="0"/>
    <n v="39"/>
    <n v="10.254690000000004"/>
    <n v="388.20528202343417"/>
    <n v="9.9539815903444655"/>
    <n v="0.64254977605368868"/>
    <n v="32.426844996417486"/>
    <n v="1185.3776000000005"/>
    <n v="0.28836633997470512"/>
    <n v="7.7408026463883089E-2"/>
    <n v="2468.3544303797471"/>
    <n v="6999.9999999999991"/>
    <n v="4415.8599000000004"/>
    <n v="7.7408026463883089E-2"/>
    <n v="22958.490566037737"/>
    <n v="9468.3544303797462"/>
    <s v="Luiz"/>
    <s v="Luiz"/>
    <x v="4"/>
  </r>
  <r>
    <x v="52"/>
    <x v="3"/>
    <x v="59"/>
    <n v="0.53681893687707638"/>
    <n v="120.39999999999999"/>
    <n v="10.403780000000001"/>
    <n v="109.99621999999999"/>
    <n v="75.794079999999994"/>
    <n v="64.632999999999996"/>
    <n v="0"/>
    <n v="0"/>
    <n v="11.16108"/>
    <n v="0.03"/>
    <n v="1.7999999999999999E-2"/>
    <n v="4.4699999999999997E-2"/>
    <n v="34.20214"/>
    <n v="0.31093923045719207"/>
    <n v="5.5849461191029901"/>
    <n v="8.6410132890365463E-2"/>
    <x v="0"/>
    <n v="0"/>
    <n v="3.6119999999999997"/>
    <n v="28.081813176367621"/>
    <n v="28.081813176367621"/>
    <n v="0.62951893687707638"/>
    <n v="0"/>
    <n v="1185.3776000000005"/>
    <n v="0.10157100994653513"/>
    <n v="2.7265357761916312E-2"/>
    <n v="0"/>
    <n v="0"/>
    <n v="4415.8599000000004"/>
    <n v="2.7265357761916312E-2"/>
    <n v="0"/>
    <n v="0"/>
    <s v="Luiz"/>
    <s v="Luiz"/>
    <x v="4"/>
  </r>
  <r>
    <x v="56"/>
    <x v="0"/>
    <x v="64"/>
    <n v="0"/>
    <n v="0"/>
    <n v="7"/>
    <n v="-7"/>
    <n v="5.1536626901370868"/>
    <n v="0"/>
    <n v="3.5320754716981133"/>
    <n v="1.6215872184389732"/>
    <n v="0"/>
    <n v="0"/>
    <n v="1.7999999999999999E-2"/>
    <n v="4.4699999999999997E-2"/>
    <n v="-12.153662690137086"/>
    <n v="1.7362375271624408"/>
    <n v="0"/>
    <n v="0"/>
    <x v="0"/>
    <n v="6"/>
    <n v="0"/>
    <n v="12.966673093072748"/>
    <n v="2.1611121821787913"/>
    <n v="6.2699999999999992E-2"/>
    <n v="5.1536626901370868"/>
    <n v="411.03867999999994"/>
    <n v="0"/>
    <n v="0"/>
    <n v="722.89156626506031"/>
    <n v="898.695652173913"/>
    <n v="4415.8599000000004"/>
    <n v="0"/>
    <n v="3532.0754716981132"/>
    <n v="1621.5872184389732"/>
    <s v="Luisa"/>
    <s v="Luisa"/>
    <x v="4"/>
  </r>
  <r>
    <x v="61"/>
    <x v="2"/>
    <x v="65"/>
    <n v="0"/>
    <n v="0"/>
    <n v="0"/>
    <n v="0"/>
    <n v="1.8236639092852496"/>
    <n v="0"/>
    <n v="1.1773584905660377"/>
    <n v="0.64630541871921188"/>
    <n v="0"/>
    <n v="0.08"/>
    <n v="1.7999999999999999E-2"/>
    <n v="4.4699999999999997E-2"/>
    <n v="-1.8236639092852496"/>
    <n v="0"/>
    <n v="0"/>
    <n v="0"/>
    <x v="0"/>
    <n v="2"/>
    <n v="0"/>
    <n v="2.1272179042170181"/>
    <n v="1.063608952108509"/>
    <n v="0.14269999999999999"/>
    <n v="1.8236639092852496"/>
    <n v="2191.72136"/>
    <n v="0"/>
    <n v="0"/>
    <n v="246.30541871921181"/>
    <n v="400"/>
    <n v="4415.8599000000004"/>
    <n v="0"/>
    <n v="1177.3584905660377"/>
    <n v="646.30541871921184"/>
    <s v="Leandro"/>
    <s v="Leandro"/>
    <x v="4"/>
  </r>
  <r>
    <x v="62"/>
    <x v="3"/>
    <x v="66"/>
    <n v="0"/>
    <n v="0"/>
    <n v="0"/>
    <n v="0"/>
    <n v="0"/>
    <n v="0"/>
    <n v="0"/>
    <n v="0"/>
    <n v="0"/>
    <n v="0"/>
    <n v="1.7999999999999999E-2"/>
    <n v="4.4699999999999997E-2"/>
    <n v="0"/>
    <n v="0"/>
    <n v="0"/>
    <n v="0"/>
    <x v="0"/>
    <n v="0"/>
    <n v="0"/>
    <n v="0"/>
    <n v="0"/>
    <n v="6.2699999999999992E-2"/>
    <n v="0"/>
    <n v="1185.3776000000005"/>
    <n v="0"/>
    <n v="0"/>
    <n v="0"/>
    <n v="0"/>
    <n v="4415.8599000000004"/>
    <n v="0"/>
    <n v="0"/>
    <n v="0"/>
    <s v="Luiz"/>
    <s v="Luiz"/>
    <x v="4"/>
  </r>
  <r>
    <x v="63"/>
    <x v="1"/>
    <x v="67"/>
    <n v="0.5213236763580984"/>
    <n v="14.511100000000001"/>
    <n v="0"/>
    <n v="14.511100000000001"/>
    <n v="9.142452583704074"/>
    <n v="7.564980000000002"/>
    <n v="0.58867924528301885"/>
    <n v="7.8947368421052627E-2"/>
    <n v="0.90984596999999989"/>
    <n v="0"/>
    <n v="1.7999999999999999E-2"/>
    <n v="4.4699999999999997E-2"/>
    <n v="5.3686474162959268"/>
    <n v="0.36996832881696951"/>
    <n v="0"/>
    <n v="0"/>
    <x v="0"/>
    <n v="1"/>
    <n v="0"/>
    <n v="1.6049630129401455"/>
    <n v="1.6049630129401455"/>
    <n v="0.58402367635809838"/>
    <n v="0.6676266137040715"/>
    <n v="627.72225999999978"/>
    <n v="2.3117070916044948E-2"/>
    <n v="3.2861323340443839E-3"/>
    <n v="78.94736842105263"/>
    <n v="0"/>
    <n v="4415.8599000000004"/>
    <n v="3.2861323340443839E-3"/>
    <n v="588.67924528301887"/>
    <n v="78.94736842105263"/>
    <s v="Julliano"/>
    <s v="Julliano"/>
    <x v="4"/>
  </r>
  <r>
    <x v="43"/>
    <x v="2"/>
    <x v="68"/>
    <n v="0.51735995331777263"/>
    <n v="47.984000000000009"/>
    <n v="0"/>
    <n v="47.984000000000009"/>
    <n v="27.833596800000006"/>
    <n v="24.825000000000006"/>
    <n v="0"/>
    <n v="0"/>
    <n v="3.0085968000000003"/>
    <n v="0"/>
    <n v="1.7999999999999999E-2"/>
    <n v="4.4699999999999997E-2"/>
    <n v="20.150403200000003"/>
    <n v="0.4199400466822274"/>
    <n v="0"/>
    <n v="0"/>
    <x v="0"/>
    <n v="0"/>
    <n v="0"/>
    <n v="0"/>
    <n v="0"/>
    <n v="0.5800599533177726"/>
    <n v="0"/>
    <n v="2191.72136"/>
    <n v="2.1893293954118331E-2"/>
    <n v="1.0866286767838809E-2"/>
    <n v="0"/>
    <n v="0"/>
    <n v="4415.8599000000004"/>
    <n v="1.0866286767838809E-2"/>
    <n v="0"/>
    <n v="0"/>
    <s v="Leandro"/>
    <s v="Luiz"/>
    <x v="4"/>
  </r>
  <r>
    <x v="64"/>
    <x v="2"/>
    <x v="69"/>
    <n v="0"/>
    <n v="0"/>
    <n v="0"/>
    <n v="0"/>
    <n v="0.71183195464262472"/>
    <n v="0"/>
    <n v="0.58867924528301885"/>
    <n v="0.12315270935960591"/>
    <n v="0"/>
    <n v="0"/>
    <n v="1.7999999999999999E-2"/>
    <n v="4.4699999999999997E-2"/>
    <n v="-0.71183195464262472"/>
    <n v="0"/>
    <n v="0"/>
    <n v="0"/>
    <x v="0"/>
    <n v="1"/>
    <n v="0"/>
    <n v="0.75944943416475486"/>
    <n v="0.75944943416475486"/>
    <n v="6.2699999999999992E-2"/>
    <n v="0.71183195464262472"/>
    <n v="2191.72136"/>
    <n v="0"/>
    <n v="0"/>
    <n v="123.15270935960591"/>
    <n v="0"/>
    <n v="4415.8599000000004"/>
    <n v="0"/>
    <n v="588.67924528301887"/>
    <n v="123.15270935960591"/>
    <s v="Leandro"/>
    <s v="Leandro"/>
    <x v="4"/>
  </r>
  <r>
    <x v="65"/>
    <x v="1"/>
    <x v="70"/>
    <n v="0.57765149371158175"/>
    <n v="3.5334799999999995"/>
    <n v="0"/>
    <n v="3.5334799999999995"/>
    <n v="2.2626691959999996"/>
    <n v="2.0411199999999998"/>
    <n v="0"/>
    <n v="0"/>
    <n v="0.22154919599999995"/>
    <n v="0"/>
    <n v="1.7999999999999999E-2"/>
    <n v="4.4699999999999997E-2"/>
    <n v="1.2708108039999999"/>
    <n v="0.35964850628841821"/>
    <n v="0"/>
    <n v="0"/>
    <x v="0"/>
    <n v="0"/>
    <n v="0"/>
    <n v="0"/>
    <n v="0"/>
    <n v="0.64035149371158173"/>
    <n v="0"/>
    <n v="627.72225999999978"/>
    <n v="5.6290500196695282E-3"/>
    <n v="8.0017937163269135E-4"/>
    <n v="0"/>
    <n v="0"/>
    <n v="4415.8599000000004"/>
    <n v="8.0017937163269135E-4"/>
    <n v="0"/>
    <n v="0"/>
    <s v="Julliano"/>
    <s v="Julliano"/>
    <x v="4"/>
  </r>
  <r>
    <x v="42"/>
    <x v="1"/>
    <x v="47"/>
    <n v="0.5627585020852145"/>
    <n v="46.517999999999994"/>
    <n v="0"/>
    <n v="46.517999999999994"/>
    <n v="42.179385134282249"/>
    <n v="26.178400000000003"/>
    <n v="8.7924528301886777"/>
    <n v="4.0453083040935676"/>
    <n v="3.1632239999999996"/>
    <n v="1.4999999999999999E-2"/>
    <n v="1.6E-2"/>
    <n v="3.6999999999999998E-2"/>
    <n v="4.3386148657177444"/>
    <n v="9.326744197338116E-2"/>
    <n v="0"/>
    <n v="0"/>
    <x v="0"/>
    <n v="15"/>
    <n v="0.69776999999999989"/>
    <n v="34.767926158844084"/>
    <n v="2.317861743922939"/>
    <n v="0.63075850208521445"/>
    <n v="12.837761134282246"/>
    <n v="409.85919999999987"/>
    <n v="0.11349751329236969"/>
    <n v="8.7952006058618498E-3"/>
    <n v="1184.2105263157894"/>
    <n v="2861.097777777778"/>
    <n v="5289.020919999999"/>
    <n v="8.7952006058618498E-3"/>
    <n v="8792.4528301886785"/>
    <n v="4045.3083040935671"/>
    <s v="Julliano"/>
    <s v="Julliano"/>
    <x v="5"/>
  </r>
  <r>
    <x v="31"/>
    <x v="1"/>
    <x v="33"/>
    <n v="0.5017096732111026"/>
    <n v="68.37563999999999"/>
    <n v="0"/>
    <n v="68.37563999999999"/>
    <n v="58.52634152867261"/>
    <n v="34.304719999999989"/>
    <n v="11.723270440251572"/>
    <n v="4.0881473684210521"/>
    <n v="8.4102037199999984"/>
    <n v="7.0000000000000007E-2"/>
    <n v="1.6E-2"/>
    <n v="3.6999999999999998E-2"/>
    <n v="9.8492984713273799"/>
    <n v="0.14404689259694506"/>
    <n v="0"/>
    <n v="0"/>
    <x v="0"/>
    <n v="20"/>
    <n v="4.7862947999999994"/>
    <n v="42.131162676001026"/>
    <n v="2.1065581338000512"/>
    <n v="0.6247096732111026"/>
    <n v="15.811417808672623"/>
    <n v="409.85919999999987"/>
    <n v="0.16682714454134495"/>
    <n v="1.2927844497918908E-2"/>
    <n v="1578.9473684210525"/>
    <n v="2509.1999999999994"/>
    <n v="5289.020919999999"/>
    <n v="1.2927844497918908E-2"/>
    <n v="11723.270440251572"/>
    <n v="4088.1473684210519"/>
    <s v="Julliano"/>
    <s v="Julliano"/>
    <x v="5"/>
  </r>
  <r>
    <x v="4"/>
    <x v="1"/>
    <x v="4"/>
    <n v="0.47596050954228658"/>
    <n v="4.2987599999999997"/>
    <n v="0"/>
    <n v="4.2987599999999997"/>
    <n v="2.9389851704336309"/>
    <n v="2.0460399999999996"/>
    <n v="0.5861635220125786"/>
    <n v="7.8947368421052627E-2"/>
    <n v="0.22783427999999997"/>
    <n v="0"/>
    <n v="1.6E-2"/>
    <n v="3.6999999999999998E-2"/>
    <n v="1.3597748295663687"/>
    <n v="0.31631792181149188"/>
    <n v="0"/>
    <n v="0"/>
    <x v="0"/>
    <n v="1"/>
    <n v="0"/>
    <n v="1.4120066446813979"/>
    <n v="1.4120066446813979"/>
    <n v="0.52896050954228657"/>
    <n v="0.66511089043363125"/>
    <n v="409.85919999999987"/>
    <n v="1.0488382351793009E-2"/>
    <n v="8.1277046640987772E-4"/>
    <n v="78.94736842105263"/>
    <n v="0"/>
    <n v="5289.020919999999"/>
    <n v="8.1277046640987772E-4"/>
    <n v="586.1635220125786"/>
    <n v="78.94736842105263"/>
    <s v="Julliano"/>
    <s v="Julliano"/>
    <x v="5"/>
  </r>
  <r>
    <x v="54"/>
    <x v="1"/>
    <x v="61"/>
    <n v="0.54025239522221746"/>
    <n v="4.7385999999999999"/>
    <n v="0"/>
    <n v="4.7385999999999999"/>
    <n v="4.8156955808672626"/>
    <n v="2.5600399999999994"/>
    <n v="1.1723270440251572"/>
    <n v="0.45309473684210527"/>
    <n v="0.63023380000000007"/>
    <n v="0.08"/>
    <n v="1.6E-2"/>
    <n v="3.6999999999999998E-2"/>
    <n v="-7.7095580867262647E-2"/>
    <n v="-1.6269695873731196E-2"/>
    <n v="0"/>
    <n v="0"/>
    <x v="0"/>
    <n v="2"/>
    <n v="0.37908799999999998"/>
    <n v="4.9745484193302474"/>
    <n v="2.4872742096651237"/>
    <n v="0.67325239522221747"/>
    <n v="1.6254217808672624"/>
    <n v="409.85919999999987"/>
    <n v="1.1561531374676966E-2"/>
    <n v="8.9593141560120751E-4"/>
    <n v="157.89473684210526"/>
    <n v="295.2"/>
    <n v="5289.020919999999"/>
    <n v="8.9593141560120751E-4"/>
    <n v="1172.3270440251572"/>
    <n v="453.09473684210525"/>
    <s v="Julliano"/>
    <s v="Julliano"/>
    <x v="5"/>
  </r>
  <r>
    <x v="36"/>
    <x v="1"/>
    <x v="39"/>
    <n v="0"/>
    <n v="0"/>
    <n v="0"/>
    <n v="0"/>
    <n v="2.8505326713008934"/>
    <n v="0"/>
    <n v="1.7584905660377357"/>
    <n v="1.0920421052631579"/>
    <n v="0"/>
    <n v="0.09"/>
    <n v="1.6E-2"/>
    <n v="3.6999999999999998E-2"/>
    <n v="-2.8505326713008934"/>
    <n v="0"/>
    <n v="0"/>
    <n v="0"/>
    <x v="0"/>
    <n v="3"/>
    <n v="0"/>
    <n v="3.3261758124864569"/>
    <n v="1.1087252708288189"/>
    <n v="0.14299999999999999"/>
    <n v="2.8505326713008934"/>
    <n v="409.85919999999987"/>
    <n v="0"/>
    <n v="0"/>
    <n v="236.84210526315789"/>
    <n v="855.2"/>
    <n v="5289.020919999999"/>
    <n v="0"/>
    <n v="1758.4905660377358"/>
    <n v="1092.042105263158"/>
    <s v="Julliano"/>
    <s v="Julliano"/>
    <x v="5"/>
  </r>
  <r>
    <x v="10"/>
    <x v="1"/>
    <x v="11"/>
    <n v="0"/>
    <n v="0"/>
    <n v="0"/>
    <n v="0"/>
    <n v="0"/>
    <n v="0"/>
    <n v="0"/>
    <n v="0"/>
    <n v="0"/>
    <n v="0"/>
    <n v="1.6E-2"/>
    <n v="3.6999999999999998E-2"/>
    <n v="0"/>
    <n v="0"/>
    <n v="0"/>
    <n v="0"/>
    <x v="0"/>
    <n v="0"/>
    <n v="0"/>
    <n v="0"/>
    <n v="0"/>
    <n v="5.2999999999999999E-2"/>
    <n v="0"/>
    <n v="409.85919999999987"/>
    <n v="0"/>
    <n v="0"/>
    <n v="0"/>
    <n v="0"/>
    <n v="5289.020919999999"/>
    <n v="0"/>
    <n v="0"/>
    <n v="0"/>
    <s v="Julliano"/>
    <s v="Julliano"/>
    <x v="5"/>
  </r>
  <r>
    <x v="39"/>
    <x v="1"/>
    <x v="42"/>
    <n v="0.50646351147123858"/>
    <n v="167.33811999999995"/>
    <n v="8.0500000000000007"/>
    <n v="159.28811999999994"/>
    <n v="127.81004757469992"/>
    <n v="84.750651858195468"/>
    <n v="8.7924528301886777"/>
    <n v="8.6642105263157898"/>
    <n v="25.60273235999999"/>
    <n v="0.1"/>
    <n v="1.6E-2"/>
    <n v="3.6999999999999998E-2"/>
    <n v="31.478072425300013"/>
    <n v="0.19761720098962826"/>
    <n v="4.0770312673434708"/>
    <n v="4.8106193615656753E-2"/>
    <x v="0"/>
    <n v="15"/>
    <n v="16.733811999999997"/>
    <n v="74.901410614475751"/>
    <n v="4.993427374298383"/>
    <n v="0.65946351147123861"/>
    <n v="17.456663356504468"/>
    <n v="409.85919999999987"/>
    <n v="0.40828196609957762"/>
    <n v="3.1638770678184422E-2"/>
    <n v="1184.2105263157894"/>
    <n v="7480"/>
    <n v="5289.020919999999"/>
    <n v="3.1638770678184422E-2"/>
    <n v="8792.4528301886785"/>
    <n v="8664.21052631579"/>
    <s v="Julliano"/>
    <s v="Julliano"/>
    <x v="5"/>
  </r>
  <r>
    <x v="42"/>
    <x v="1"/>
    <x v="48"/>
    <n v="0.5598142815548337"/>
    <n v="99.560879999999955"/>
    <n v="18.353200000000001"/>
    <n v="81.207679999999954"/>
    <n v="103.38941954114942"/>
    <n v="55.735602508166984"/>
    <n v="31.066666666666663"/>
    <n v="9.8170105263157872"/>
    <n v="6.770139839999997"/>
    <n v="1.4999999999999999E-2"/>
    <n v="1.6E-2"/>
    <n v="3.6999999999999998E-2"/>
    <n v="-22.181739541149469"/>
    <n v="-0.27314829756433728"/>
    <n v="10.274383472232175"/>
    <n v="0.18434148030833003"/>
    <x v="0"/>
    <n v="53"/>
    <n v="1.4934131999999993"/>
    <n v="159.15945791915109"/>
    <n v="3.003008639983983"/>
    <n v="0.62781428155483376"/>
    <n v="40.883677192982447"/>
    <n v="409.85919999999987"/>
    <n v="0.2429148351433858"/>
    <n v="1.8824066212995802E-2"/>
    <n v="4184.2105263157891"/>
    <n v="5632.7999999999984"/>
    <n v="5289.020919999999"/>
    <n v="1.8824066212995802E-2"/>
    <n v="31066.666666666664"/>
    <n v="9817.0105263157875"/>
    <s v="Julliano"/>
    <s v="Julliano"/>
    <x v="5"/>
  </r>
  <r>
    <x v="17"/>
    <x v="1"/>
    <x v="18"/>
    <n v="0.49041347115705236"/>
    <n v="2.3992"/>
    <n v="0"/>
    <n v="2.3992"/>
    <n v="2.9339793808672625"/>
    <n v="1.1766000000000001"/>
    <n v="1.1723270440251572"/>
    <n v="0.45789473684210524"/>
    <n v="0.12715760000000001"/>
    <n v="0"/>
    <n v="1.6E-2"/>
    <n v="3.6999999999999998E-2"/>
    <n v="-0.53477938086726251"/>
    <n v="-0.22289904170859559"/>
    <n v="0"/>
    <n v="0"/>
    <x v="0"/>
    <n v="2"/>
    <n v="0"/>
    <n v="3.5704552760206623"/>
    <n v="1.7852276380103311"/>
    <n v="0.54341347115705241"/>
    <n v="1.6302217808672625"/>
    <n v="409.85919999999987"/>
    <n v="5.853717569350647E-3"/>
    <n v="4.5361892801891213E-4"/>
    <n v="157.89473684210526"/>
    <n v="300"/>
    <n v="5289.020919999999"/>
    <n v="4.5361892801891213E-4"/>
    <n v="1172.3270440251572"/>
    <n v="457.89473684210526"/>
    <s v="Julliano"/>
    <s v="Julliano"/>
    <x v="5"/>
  </r>
  <r>
    <x v="46"/>
    <x v="1"/>
    <x v="52"/>
    <n v="0.54822008418520751"/>
    <n v="16.630000000000003"/>
    <n v="0"/>
    <n v="16.630000000000003"/>
    <n v="13.631511780867266"/>
    <n v="9.1169000000000029"/>
    <n v="1.1723270440251572"/>
    <n v="0.79789473684210521"/>
    <n v="2.5443900000000004"/>
    <n v="0.1"/>
    <n v="1.6E-2"/>
    <n v="3.6999999999999998E-2"/>
    <n v="2.9984882191327369"/>
    <n v="0.18030596627376647"/>
    <n v="0"/>
    <n v="0"/>
    <x v="0"/>
    <n v="2"/>
    <n v="1.6630000000000003"/>
    <n v="6.5942242988265729"/>
    <n v="3.2971121494132865"/>
    <n v="0.70122008418520754"/>
    <n v="1.9702217808672624"/>
    <n v="409.85919999999987"/>
    <n v="4.0574909627501363E-2"/>
    <n v="3.144249238477205E-3"/>
    <n v="157.89473684210526"/>
    <n v="640"/>
    <n v="5289.020919999999"/>
    <n v="3.144249238477205E-3"/>
    <n v="1172.3270440251572"/>
    <n v="797.8947368421052"/>
    <s v="Julliano"/>
    <s v="Julliano"/>
    <x v="5"/>
  </r>
  <r>
    <x v="21"/>
    <x v="2"/>
    <x v="22"/>
    <n v="0.45939323309853386"/>
    <n v="626.75759999999968"/>
    <n v="50.321109999999997"/>
    <n v="576.43648999999971"/>
    <n v="426.28667147183455"/>
    <n v="287.92820023307752"/>
    <n v="20.515723270440251"/>
    <n v="40.751563168316835"/>
    <n v="77.091184799999965"/>
    <n v="7.0000000000000007E-2"/>
    <n v="1.6E-2"/>
    <n v="3.6999999999999998E-2"/>
    <n v="150.14981852816516"/>
    <n v="0.26047937827142975"/>
    <n v="23.11717741600696"/>
    <n v="8.0287993316714504E-2"/>
    <x v="0"/>
    <n v="35"/>
    <n v="43.873031999999981"/>
    <n v="267.20926307471984"/>
    <n v="7.6345503735634237"/>
    <n v="0.58239323309853386"/>
    <n v="61.267286438757083"/>
    <n v="2576.7396199999989"/>
    <n v="0.24323668372825344"/>
    <n v="0.11850162997653634"/>
    <n v="4331.6831683168321"/>
    <n v="36419.879999999997"/>
    <n v="5289.020919999999"/>
    <n v="0.11850162997653634"/>
    <n v="20515.723270440252"/>
    <n v="40751.563168316832"/>
    <s v="Leandro"/>
    <s v="Leandro"/>
    <x v="5"/>
  </r>
  <r>
    <x v="50"/>
    <x v="0"/>
    <x v="56"/>
    <n v="0"/>
    <n v="0"/>
    <n v="0.66600000000000004"/>
    <n v="-0.66600000000000004"/>
    <n v="0.70521114106019767"/>
    <n v="0"/>
    <n v="0.5861635220125786"/>
    <n v="0.11904761904761905"/>
    <n v="0"/>
    <n v="0"/>
    <n v="1.6E-2"/>
    <n v="3.6999999999999998E-2"/>
    <n v="-1.3712111410601977"/>
    <n v="2.0588755871774738"/>
    <n v="0"/>
    <n v="0"/>
    <x v="0"/>
    <n v="1"/>
    <n v="0"/>
    <n v="1.4479526304753936"/>
    <n v="1.4479526304753936"/>
    <n v="5.2999999999999999E-2"/>
    <n v="0.70521114106019767"/>
    <n v="216.32003999999995"/>
    <n v="0"/>
    <n v="0"/>
    <n v="119.04761904761905"/>
    <n v="0"/>
    <n v="5289.020919999999"/>
    <n v="0"/>
    <n v="586.1635220125786"/>
    <n v="119.04761904761905"/>
    <s v="Luisa"/>
    <s v="Luisa"/>
    <x v="5"/>
  </r>
  <r>
    <x v="25"/>
    <x v="2"/>
    <x v="26"/>
    <n v="0.56324876242670385"/>
    <n v="392.38079999999997"/>
    <n v="77.97"/>
    <n v="314.41079999999999"/>
    <n v="322.64755833000805"/>
    <n v="221.00799999999998"/>
    <n v="23.446540880503143"/>
    <n v="18.158755049504954"/>
    <n v="60.034262399999996"/>
    <n v="0.1"/>
    <n v="1.6E-2"/>
    <n v="3.6999999999999998E-2"/>
    <n v="-8.2367583300080582"/>
    <n v="-2.6197440832210785E-2"/>
    <n v="43.916506006410096"/>
    <n v="0.19871002862525386"/>
    <x v="0"/>
    <n v="40"/>
    <n v="39.238079999999997"/>
    <n v="421.40889658365086"/>
    <n v="10.535222414591271"/>
    <n v="0.71624876242670388"/>
    <n v="41.605295930008097"/>
    <n v="2576.7396199999989"/>
    <n v="0.15227801713236364"/>
    <n v="7.4187795044682869E-2"/>
    <n v="4950.4950495049507"/>
    <n v="13208.260000000004"/>
    <n v="5289.020919999999"/>
    <n v="7.4187795044682869E-2"/>
    <n v="23446.540880503144"/>
    <n v="18158.755049504955"/>
    <s v="Leandro"/>
    <s v="Leandro"/>
    <x v="5"/>
  </r>
  <r>
    <x v="19"/>
    <x v="2"/>
    <x v="20"/>
    <n v="0.50309915622223877"/>
    <n v="444.65974"/>
    <n v="0.62504999999999999"/>
    <n v="444.03469000000001"/>
    <n v="336.62439405875716"/>
    <n v="223.70794000000006"/>
    <n v="20.515723270440251"/>
    <n v="19.921193168316833"/>
    <n v="72.479537620000002"/>
    <n v="0.11"/>
    <n v="1.6E-2"/>
    <n v="3.6999999999999998E-2"/>
    <n v="107.41029594124285"/>
    <n v="0.24189618144754152"/>
    <n v="0.31446212759671033"/>
    <n v="1.4056815667638362E-3"/>
    <x v="0"/>
    <n v="35"/>
    <n v="48.912571399999997"/>
    <n v="122.97652792422183"/>
    <n v="3.5136150835491953"/>
    <n v="0.66609915622223881"/>
    <n v="40.436916438757081"/>
    <n v="2576.7396199999989"/>
    <n v="0.17256681138779564"/>
    <n v="8.4072221820593609E-2"/>
    <n v="4331.6831683168321"/>
    <n v="15589.51"/>
    <n v="5289.020919999999"/>
    <n v="8.4072221820593609E-2"/>
    <n v="20515.723270440252"/>
    <n v="19921.193168316833"/>
    <s v="Leandro"/>
    <s v="Leandro"/>
    <x v="5"/>
  </r>
  <r>
    <x v="20"/>
    <x v="2"/>
    <x v="21"/>
    <n v="0.47747404514715686"/>
    <n v="52.494999999999997"/>
    <n v="0"/>
    <n v="52.494999999999997"/>
    <n v="51.837779761504443"/>
    <n v="25.064999999999998"/>
    <n v="12.895597484276728"/>
    <n v="7.6827722772277234"/>
    <n v="6.1944099999999995"/>
    <n v="6.5000000000000002E-2"/>
    <n v="1.6E-2"/>
    <n v="3.6999999999999998E-2"/>
    <n v="0.65722023849555455"/>
    <n v="1.2519673083066094E-2"/>
    <n v="0"/>
    <n v="0"/>
    <x v="0"/>
    <n v="22"/>
    <n v="3.412175"/>
    <n v="50.870332335017586"/>
    <n v="2.3122878334098904"/>
    <n v="0.59547404514715685"/>
    <n v="20.578369761504451"/>
    <n v="2576.7396199999989"/>
    <n v="2.0372644404016274E-2"/>
    <n v="9.9252774367925931E-3"/>
    <n v="2722.772277227723"/>
    <n v="4960"/>
    <n v="5289.020919999999"/>
    <n v="9.9252774367925931E-3"/>
    <n v="12895.597484276728"/>
    <n v="7682.772277227723"/>
    <s v="Leandro"/>
    <s v="Leandro"/>
    <x v="5"/>
  </r>
  <r>
    <x v="55"/>
    <x v="2"/>
    <x v="63"/>
    <n v="0"/>
    <n v="0"/>
    <n v="0"/>
    <n v="0"/>
    <n v="13.648888473753034"/>
    <n v="0"/>
    <n v="8.7924528301886777"/>
    <n v="4.8564356435643568"/>
    <n v="0"/>
    <n v="0"/>
    <n v="1.6E-2"/>
    <n v="3.6999999999999998E-2"/>
    <n v="-13.648888473753034"/>
    <n v="0"/>
    <n v="0"/>
    <n v="0"/>
    <x v="0"/>
    <n v="15"/>
    <n v="0"/>
    <n v="14.412765019802572"/>
    <n v="0.96085100132017154"/>
    <n v="5.2999999999999999E-2"/>
    <n v="13.648888473753034"/>
    <n v="2576.7396199999989"/>
    <n v="0"/>
    <n v="0"/>
    <n v="1856.4356435643565"/>
    <n v="3000"/>
    <n v="5289.020919999999"/>
    <n v="0"/>
    <n v="8792.4528301886785"/>
    <n v="4856.4356435643567"/>
    <s v="Leandro"/>
    <s v="Leandro"/>
    <x v="5"/>
  </r>
  <r>
    <x v="22"/>
    <x v="2"/>
    <x v="23"/>
    <n v="0.59423953110332672"/>
    <n v="87.353999999999999"/>
    <n v="29.518579999999993"/>
    <n v="57.835420000000006"/>
    <n v="87.468969456255053"/>
    <n v="51.909200000000006"/>
    <n v="14.654088050314465"/>
    <n v="8.4140594059405931"/>
    <n v="12.491622"/>
    <n v="0.09"/>
    <n v="1.6E-2"/>
    <n v="3.6999999999999998E-2"/>
    <n v="-29.633549456255047"/>
    <n v="-0.51237718090843021"/>
    <n v="17.541107138036033"/>
    <n v="0.3379190420587494"/>
    <x v="0"/>
    <n v="25"/>
    <n v="7.8618600000000001"/>
    <n v="200.13180702967165"/>
    <n v="8.0052722811868655"/>
    <n v="0.73723953110332674"/>
    <n v="23.068147456255058"/>
    <n v="2576.7396199999989"/>
    <n v="3.3900980650889374E-2"/>
    <n v="1.6516100299334799E-2"/>
    <n v="3094.0594059405944"/>
    <n v="5320"/>
    <n v="5289.020919999999"/>
    <n v="1.6516100299334799E-2"/>
    <n v="14654.088050314465"/>
    <n v="8414.0594059405939"/>
    <s v="Leandro"/>
    <s v="Leandro"/>
    <x v="5"/>
  </r>
  <r>
    <x v="23"/>
    <x v="2"/>
    <x v="24"/>
    <n v="0.51279768673831061"/>
    <n v="67.534080000000003"/>
    <n v="0"/>
    <n v="67.534080000000003"/>
    <n v="50.486589222502033"/>
    <n v="34.631320000000009"/>
    <n v="5.8616352201257858"/>
    <n v="3.0376237623762377"/>
    <n v="6.9560102400000012"/>
    <n v="0.05"/>
    <n v="1.6E-2"/>
    <n v="3.6999999999999998E-2"/>
    <n v="17.04749077749797"/>
    <n v="0.25242797084816981"/>
    <n v="0"/>
    <n v="0"/>
    <x v="0"/>
    <n v="10"/>
    <n v="3.3767040000000001"/>
    <n v="23.162950027426106"/>
    <n v="2.3162950027426108"/>
    <n v="0.61579768673831059"/>
    <n v="8.8992589825020225"/>
    <n v="2576.7396199999989"/>
    <n v="2.6209120811360842E-2"/>
    <n v="1.2768729982637318E-2"/>
    <n v="1237.6237623762377"/>
    <n v="1800"/>
    <n v="5289.020919999999"/>
    <n v="1.2768729982637318E-2"/>
    <n v="5861.635220125786"/>
    <n v="3037.6237623762377"/>
    <s v="Leandro"/>
    <s v="Leandro"/>
    <x v="5"/>
  </r>
  <r>
    <x v="24"/>
    <x v="2"/>
    <x v="25"/>
    <n v="0.58683168217230774"/>
    <n v="874.77839999999946"/>
    <n v="70.542500000000004"/>
    <n v="804.23589999999945"/>
    <n v="637.27408936850327"/>
    <n v="513.34767999999963"/>
    <n v="10.550943396226415"/>
    <n v="5.7777227722772277"/>
    <n v="107.59774319999994"/>
    <n v="7.0000000000000007E-2"/>
    <n v="1.6E-2"/>
    <n v="3.6999999999999998E-2"/>
    <n v="166.96181063149618"/>
    <n v="0.20760303118960033"/>
    <n v="41.396573939640021"/>
    <n v="8.0640422763067821E-2"/>
    <x v="0"/>
    <n v="18"/>
    <n v="61.23448799999997"/>
    <n v="299.38198221933203"/>
    <n v="16.632332345518446"/>
    <n v="0.70983168217230774"/>
    <n v="16.328666168503645"/>
    <n v="2576.7396199999989"/>
    <n v="0.33949041385873513"/>
    <n v="0.16539514840867742"/>
    <n v="2227.7227722772277"/>
    <n v="3550"/>
    <n v="5289.020919999999"/>
    <n v="0.16539514840867742"/>
    <n v="10550.943396226416"/>
    <n v="5777.7227722772277"/>
    <s v="Leandro"/>
    <s v="Leandro"/>
    <x v="5"/>
  </r>
  <r>
    <x v="57"/>
    <x v="0"/>
    <x v="55"/>
    <n v="0"/>
    <n v="0"/>
    <n v="0"/>
    <n v="0"/>
    <n v="1.4104222821203953"/>
    <n v="0"/>
    <n v="1.1723270440251572"/>
    <n v="0.23809523809523811"/>
    <n v="0"/>
    <n v="0"/>
    <n v="1.6E-2"/>
    <n v="3.6999999999999998E-2"/>
    <n v="-1.4104222821203953"/>
    <n v="0"/>
    <n v="0"/>
    <n v="0"/>
    <x v="0"/>
    <n v="2"/>
    <n v="0"/>
    <n v="1.489358270454483"/>
    <n v="0.7446791352272415"/>
    <n v="5.2999999999999999E-2"/>
    <n v="1.4104222821203953"/>
    <n v="216.32003999999995"/>
    <n v="0"/>
    <n v="0"/>
    <n v="238.0952380952381"/>
    <n v="0"/>
    <n v="5289.020919999999"/>
    <n v="0"/>
    <n v="1172.3270440251572"/>
    <n v="238.0952380952381"/>
    <s v="Luisa"/>
    <s v="Luisa"/>
    <x v="5"/>
  </r>
  <r>
    <x v="48"/>
    <x v="0"/>
    <x v="54"/>
    <n v="0"/>
    <n v="0"/>
    <n v="0"/>
    <n v="0"/>
    <n v="0"/>
    <n v="0"/>
    <n v="0"/>
    <n v="0"/>
    <n v="0"/>
    <n v="0"/>
    <n v="1.6E-2"/>
    <n v="3.6999999999999998E-2"/>
    <n v="0"/>
    <n v="0"/>
    <n v="0"/>
    <n v="0"/>
    <x v="0"/>
    <n v="0"/>
    <n v="0"/>
    <n v="0"/>
    <n v="0"/>
    <n v="5.2999999999999999E-2"/>
    <n v="0"/>
    <n v="216.32003999999995"/>
    <n v="0"/>
    <n v="0"/>
    <n v="0"/>
    <n v="0"/>
    <n v="5289.020919999999"/>
    <n v="0"/>
    <n v="0"/>
    <n v="0"/>
    <s v="Luisa"/>
    <s v="Luisa"/>
    <x v="5"/>
  </r>
  <r>
    <x v="58"/>
    <x v="0"/>
    <x v="7"/>
    <n v="0.51209387666827122"/>
    <n v="5.7334799999999992"/>
    <n v="0"/>
    <n v="5.7334799999999992"/>
    <n v="4.1396100255046413"/>
    <n v="2.9360799999999991"/>
    <n v="0.5861635220125786"/>
    <n v="0.31349206349206349"/>
    <n v="0.30387443999999997"/>
    <n v="0"/>
    <n v="1.6E-2"/>
    <n v="3.6999999999999998E-2"/>
    <n v="1.5938699744953579"/>
    <n v="0.27799346548611981"/>
    <n v="0"/>
    <n v="0"/>
    <x v="0"/>
    <n v="1"/>
    <n v="0"/>
    <n v="2.0686201854610848"/>
    <n v="2.0686201854610848"/>
    <n v="0.56509387666827127"/>
    <n v="0.89965558550464209"/>
    <n v="216.32003999999995"/>
    <n v="2.6504617880063263E-2"/>
    <n v="1.0840342828517305E-3"/>
    <n v="119.04761904761905"/>
    <n v="194.44444444444446"/>
    <n v="5289.020919999999"/>
    <n v="1.0840342828517305E-3"/>
    <n v="586.1635220125786"/>
    <n v="313.49206349206349"/>
    <s v="Luisa"/>
    <s v="Luisa"/>
    <x v="5"/>
  </r>
  <r>
    <x v="5"/>
    <x v="0"/>
    <x v="5"/>
    <n v="0"/>
    <n v="0"/>
    <n v="0"/>
    <n v="0"/>
    <n v="0"/>
    <n v="0"/>
    <n v="0"/>
    <n v="0"/>
    <n v="0"/>
    <n v="0"/>
    <n v="1.6E-2"/>
    <n v="3.6999999999999998E-2"/>
    <n v="0"/>
    <n v="0"/>
    <n v="0"/>
    <n v="0"/>
    <x v="0"/>
    <n v="0"/>
    <n v="0"/>
    <n v="0"/>
    <n v="0"/>
    <n v="5.2999999999999999E-2"/>
    <n v="0"/>
    <n v="216.32003999999995"/>
    <n v="0"/>
    <n v="0"/>
    <n v="0"/>
    <n v="0"/>
    <n v="5289.020919999999"/>
    <n v="0"/>
    <n v="0"/>
    <n v="0"/>
    <s v="Luisa"/>
    <s v="Luisa"/>
    <x v="5"/>
  </r>
  <r>
    <x v="13"/>
    <x v="0"/>
    <x v="14"/>
    <n v="0"/>
    <n v="0"/>
    <n v="0"/>
    <n v="0"/>
    <n v="0.81415114106019759"/>
    <n v="0"/>
    <n v="0.5861635220125786"/>
    <n v="0.22798761904761902"/>
    <n v="0"/>
    <n v="0"/>
    <n v="1.6E-2"/>
    <n v="3.6999999999999998E-2"/>
    <n v="-0.81415114106019759"/>
    <n v="0"/>
    <n v="0"/>
    <n v="0"/>
    <x v="0"/>
    <n v="1"/>
    <n v="0"/>
    <n v="0.85971609404455929"/>
    <n v="0.85971609404455929"/>
    <n v="5.2999999999999999E-2"/>
    <n v="0.81415114106019759"/>
    <n v="216.32003999999995"/>
    <n v="0"/>
    <n v="0"/>
    <n v="119.04761904761905"/>
    <n v="108.94"/>
    <n v="5289.020919999999"/>
    <n v="0"/>
    <n v="586.1635220125786"/>
    <n v="227.98761904761903"/>
    <s v="Luisa"/>
    <s v="Luisa"/>
    <x v="5"/>
  </r>
  <r>
    <x v="58"/>
    <x v="0"/>
    <x v="8"/>
    <n v="0.51131326056797555"/>
    <n v="31.571799999999975"/>
    <n v="15.606159999999999"/>
    <n v="15.965639999999976"/>
    <n v="21.43720996424079"/>
    <n v="16.143079999999998"/>
    <n v="2.3446540880503144"/>
    <n v="1.2761704761904762"/>
    <n v="1.6733053999999987"/>
    <n v="0"/>
    <n v="1.6E-2"/>
    <n v="3.6999999999999998E-2"/>
    <n v="-5.471569964240814"/>
    <n v="-0.34270909053697957"/>
    <n v="7.9796365545455172"/>
    <n v="0.49430694480517462"/>
    <x v="0"/>
    <n v="4"/>
    <n v="0"/>
    <n v="44.130295517613689"/>
    <n v="11.032573879403422"/>
    <n v="0.56431326056797559"/>
    <n v="3.6208245642407908"/>
    <n v="216.32003999999995"/>
    <n v="0.14594949224306719"/>
    <n v="5.9693089661668388E-3"/>
    <n v="476.1904761904762"/>
    <n v="799.98"/>
    <n v="5289.020919999999"/>
    <n v="5.9693089661668388E-3"/>
    <n v="2344.6540880503144"/>
    <n v="1276.1704761904762"/>
    <s v="Luisa"/>
    <s v="Luisa"/>
    <x v="5"/>
  </r>
  <r>
    <x v="0"/>
    <x v="0"/>
    <x v="0"/>
    <n v="0.5120805403190094"/>
    <n v="63.050159999999991"/>
    <n v="0"/>
    <n v="63.050159999999991"/>
    <n v="47.124129949541768"/>
    <n v="32.286759999999987"/>
    <n v="5.2754716981132077"/>
    <n v="1.8067285714285717"/>
    <n v="7.755169679999999"/>
    <n v="7.0000000000000007E-2"/>
    <n v="1.6E-2"/>
    <n v="3.6999999999999998E-2"/>
    <n v="15.926030050458223"/>
    <n v="0.25259301563165304"/>
    <n v="0"/>
    <n v="0"/>
    <x v="0"/>
    <n v="9"/>
    <n v="4.4135111999999994"/>
    <n v="19.407570853395917"/>
    <n v="2.1563967614884354"/>
    <n v="0.6350805403190094"/>
    <n v="7.0822002695417794"/>
    <n v="216.32003999999995"/>
    <n v="0.29146703190328555"/>
    <n v="1.1920951146474195E-2"/>
    <n v="1071.4285714285716"/>
    <n v="735.30000000000007"/>
    <n v="5289.020919999999"/>
    <n v="1.1920951146474195E-2"/>
    <n v="5275.4716981132078"/>
    <n v="1806.7285714285717"/>
    <s v="Luisa"/>
    <s v="Luisa"/>
    <x v="5"/>
  </r>
  <r>
    <x v="1"/>
    <x v="0"/>
    <x v="1"/>
    <n v="0.55889107870187893"/>
    <n v="7.6109999999999998"/>
    <n v="0"/>
    <n v="7.6109999999999998"/>
    <n v="14.840963923843653"/>
    <n v="4.2537200000000004"/>
    <n v="7.0339622641509427"/>
    <n v="3.1498986596927097"/>
    <n v="0.40338299999999999"/>
    <n v="0"/>
    <n v="1.6E-2"/>
    <n v="3.6999999999999998E-2"/>
    <n v="-7.2299639238436528"/>
    <n v="-0.94993613504712293"/>
    <n v="0"/>
    <n v="0"/>
    <x v="0"/>
    <n v="12"/>
    <n v="0"/>
    <n v="26.239698097589073"/>
    <n v="2.1866415081324226"/>
    <n v="0.61189107870187898"/>
    <n v="10.183860923843653"/>
    <n v="216.32003999999995"/>
    <n v="3.5183980180477047E-2"/>
    <n v="1.4390186983794348E-3"/>
    <n v="1428.5714285714287"/>
    <n v="1721.3272311212813"/>
    <n v="5289.020919999999"/>
    <n v="1.4390186983794348E-3"/>
    <n v="7033.9622641509432"/>
    <n v="3149.8986596927098"/>
    <s v="Luisa"/>
    <s v="Luisa"/>
    <x v="5"/>
  </r>
  <r>
    <x v="6"/>
    <x v="0"/>
    <x v="6"/>
    <n v="0"/>
    <n v="0"/>
    <n v="15.721"/>
    <n v="-15.721"/>
    <n v="13.264818256963162"/>
    <n v="0"/>
    <n v="9.3786163522012576"/>
    <n v="3.8862019047619043"/>
    <n v="0"/>
    <n v="0.03"/>
    <n v="1.6E-2"/>
    <n v="3.6999999999999998E-2"/>
    <n v="-28.985818256963164"/>
    <n v="1.843764280704991"/>
    <n v="0"/>
    <n v="0"/>
    <x v="0"/>
    <n v="16"/>
    <n v="0"/>
    <n v="31.609398317298975"/>
    <n v="1.975587394831186"/>
    <n v="8.299999999999999E-2"/>
    <n v="13.264818256963162"/>
    <n v="216.32003999999995"/>
    <n v="0"/>
    <n v="0"/>
    <n v="1904.7619047619048"/>
    <n v="1981.4399999999996"/>
    <n v="5289.020919999999"/>
    <n v="0"/>
    <n v="9378.6163522012575"/>
    <n v="3886.2019047619042"/>
    <s v="Luisa"/>
    <s v="Luisa"/>
    <x v="5"/>
  </r>
  <r>
    <x v="9"/>
    <x v="0"/>
    <x v="10"/>
    <n v="0"/>
    <n v="0"/>
    <n v="0"/>
    <n v="0"/>
    <n v="0"/>
    <n v="0"/>
    <n v="0"/>
    <n v="0"/>
    <n v="0"/>
    <n v="0"/>
    <n v="1.6E-2"/>
    <n v="3.6999999999999998E-2"/>
    <n v="0"/>
    <n v="0"/>
    <n v="0"/>
    <n v="0"/>
    <x v="0"/>
    <n v="0"/>
    <n v="0"/>
    <n v="0"/>
    <n v="0"/>
    <n v="5.2999999999999999E-2"/>
    <n v="0"/>
    <n v="216.32003999999995"/>
    <n v="0"/>
    <n v="0"/>
    <n v="0"/>
    <n v="0"/>
    <n v="5289.020919999999"/>
    <n v="0"/>
    <n v="0"/>
    <n v="0"/>
    <s v="Luisa"/>
    <s v="Luisa"/>
    <x v="5"/>
  </r>
  <r>
    <x v="14"/>
    <x v="0"/>
    <x v="15"/>
    <n v="0.5478143028613468"/>
    <n v="10.3308"/>
    <n v="0"/>
    <n v="10.3308"/>
    <n v="10.14144810530099"/>
    <n v="5.6593600000000013"/>
    <n v="2.9308176100628929"/>
    <n v="1.0037380952380952"/>
    <n v="0.54753240000000003"/>
    <n v="0"/>
    <n v="1.6E-2"/>
    <n v="3.6999999999999998E-2"/>
    <n v="0.18935189469901026"/>
    <n v="1.8328870435882046E-2"/>
    <n v="0"/>
    <n v="0"/>
    <x v="0"/>
    <n v="5"/>
    <n v="0"/>
    <n v="9.8564546112341276"/>
    <n v="1.9712909222468256"/>
    <n v="0.60081430286134685"/>
    <n v="3.9345557053009879"/>
    <n v="216.32003999999995"/>
    <n v="4.7757017796409444E-2"/>
    <n v="1.9532537602441552E-3"/>
    <n v="595.2380952380953"/>
    <n v="408.5"/>
    <n v="5289.020919999999"/>
    <n v="1.9532537602441552E-3"/>
    <n v="2930.817610062893"/>
    <n v="1003.7380952380953"/>
    <s v="Luisa"/>
    <s v="Luisa"/>
    <x v="5"/>
  </r>
  <r>
    <x v="15"/>
    <x v="0"/>
    <x v="16"/>
    <n v="0"/>
    <n v="0"/>
    <n v="7.2221899999999994"/>
    <n v="-7.2221899999999994"/>
    <n v="9.8300857095569096"/>
    <n v="0"/>
    <n v="6.4477987421383638"/>
    <n v="3.3822869674185463"/>
    <n v="0"/>
    <n v="0.03"/>
    <n v="1.6E-2"/>
    <n v="3.6999999999999998E-2"/>
    <n v="-17.052275709556909"/>
    <n v="2.3610948631311155"/>
    <n v="0"/>
    <n v="0"/>
    <x v="0"/>
    <n v="11"/>
    <n v="0"/>
    <n v="18.595720512057696"/>
    <n v="1.6905200465506995"/>
    <n v="8.299999999999999E-2"/>
    <n v="9.8300857095569096"/>
    <n v="216.32003999999995"/>
    <n v="0"/>
    <n v="0"/>
    <n v="1309.5238095238096"/>
    <n v="2072.7631578947367"/>
    <n v="5289.020919999999"/>
    <n v="0"/>
    <n v="6447.7987421383641"/>
    <n v="3382.2869674185463"/>
    <s v="Luisa"/>
    <s v="Luisa"/>
    <x v="5"/>
  </r>
  <r>
    <x v="51"/>
    <x v="0"/>
    <x v="58"/>
    <n v="0"/>
    <n v="0"/>
    <n v="0"/>
    <n v="0"/>
    <n v="0.70521114106019767"/>
    <n v="0"/>
    <n v="0.5861635220125786"/>
    <n v="0.11904761904761905"/>
    <n v="0"/>
    <n v="0"/>
    <n v="1.6E-2"/>
    <n v="3.6999999999999998E-2"/>
    <n v="-0.70521114106019767"/>
    <n v="0"/>
    <n v="0"/>
    <n v="0"/>
    <x v="0"/>
    <n v="1"/>
    <n v="0"/>
    <n v="0.7446791352272415"/>
    <n v="0.7446791352272415"/>
    <n v="5.2999999999999999E-2"/>
    <n v="0.70521114106019767"/>
    <n v="216.32003999999995"/>
    <n v="0"/>
    <n v="0"/>
    <n v="119.04761904761905"/>
    <n v="0"/>
    <n v="5289.020919999999"/>
    <n v="0"/>
    <n v="586.1635220125786"/>
    <n v="119.04761904761905"/>
    <s v="Luisa"/>
    <s v="Luisa"/>
    <x v="5"/>
  </r>
  <r>
    <x v="18"/>
    <x v="0"/>
    <x v="19"/>
    <n v="0"/>
    <n v="0"/>
    <n v="0"/>
    <n v="0"/>
    <n v="4.226055705300988"/>
    <n v="0"/>
    <n v="2.9308176100628929"/>
    <n v="1.2952380952380955"/>
    <n v="0"/>
    <n v="0"/>
    <n v="1.6E-2"/>
    <n v="3.6999999999999998E-2"/>
    <n v="-4.226055705300988"/>
    <n v="0"/>
    <n v="0"/>
    <n v="0"/>
    <x v="0"/>
    <n v="5"/>
    <n v="0"/>
    <n v="4.4625720224931236"/>
    <n v="0.89251440449862474"/>
    <n v="5.2999999999999999E-2"/>
    <n v="4.226055705300988"/>
    <n v="216.32003999999995"/>
    <n v="0"/>
    <n v="0"/>
    <n v="595.2380952380953"/>
    <n v="700"/>
    <n v="5289.020919999999"/>
    <n v="0"/>
    <n v="2930.817610062893"/>
    <n v="1295.2380952380954"/>
    <s v="Luisa"/>
    <s v="Luisa"/>
    <x v="5"/>
  </r>
  <r>
    <x v="2"/>
    <x v="0"/>
    <x v="2"/>
    <n v="0"/>
    <n v="0"/>
    <n v="0"/>
    <n v="0"/>
    <n v="1.6604222821203953"/>
    <n v="0"/>
    <n v="1.1723270440251572"/>
    <n v="0.48809523809523808"/>
    <n v="0"/>
    <n v="0"/>
    <n v="1.6E-2"/>
    <n v="3.6999999999999998E-2"/>
    <n v="-1.6604222821203953"/>
    <n v="0"/>
    <n v="0"/>
    <n v="0"/>
    <x v="0"/>
    <n v="2"/>
    <n v="0"/>
    <n v="1.7533498227248103"/>
    <n v="0.87667491136240516"/>
    <n v="5.2999999999999999E-2"/>
    <n v="1.6604222821203953"/>
    <n v="216.32003999999995"/>
    <n v="0"/>
    <n v="0"/>
    <n v="238.0952380952381"/>
    <n v="250"/>
    <n v="5289.020919999999"/>
    <n v="0"/>
    <n v="1172.3270440251572"/>
    <n v="488.09523809523807"/>
    <s v="Luisa"/>
    <s v="Luisa"/>
    <x v="5"/>
  </r>
  <r>
    <x v="3"/>
    <x v="0"/>
    <x v="3"/>
    <n v="0"/>
    <n v="0"/>
    <n v="0"/>
    <n v="0"/>
    <n v="0"/>
    <n v="0"/>
    <n v="0"/>
    <n v="0"/>
    <n v="0"/>
    <n v="0"/>
    <n v="1.6E-2"/>
    <n v="3.6999999999999998E-2"/>
    <n v="0"/>
    <n v="0"/>
    <n v="0"/>
    <n v="0"/>
    <x v="0"/>
    <n v="0"/>
    <n v="0"/>
    <n v="0"/>
    <n v="0"/>
    <n v="5.2999999999999999E-2"/>
    <n v="0"/>
    <n v="216.32003999999995"/>
    <n v="0"/>
    <n v="0"/>
    <n v="0"/>
    <n v="0"/>
    <n v="5289.020919999999"/>
    <n v="0"/>
    <n v="0"/>
    <n v="0"/>
    <s v="Luisa"/>
    <s v="Luisa"/>
    <x v="5"/>
  </r>
  <r>
    <x v="8"/>
    <x v="0"/>
    <x v="9"/>
    <n v="0.51786012004001325"/>
    <n v="9.5968"/>
    <n v="0"/>
    <n v="9.5968"/>
    <n v="12.028620387421384"/>
    <n v="4.9697999999999993"/>
    <n v="4.1031446540880498"/>
    <n v="1.5833333333333335"/>
    <n v="1.3723424"/>
    <n v="0.09"/>
    <n v="1.6E-2"/>
    <n v="3.6999999999999998E-2"/>
    <n v="-2.431820387421384"/>
    <n v="-0.25339909005307854"/>
    <n v="0"/>
    <n v="0"/>
    <x v="0"/>
    <n v="7"/>
    <n v="0.86371199999999992"/>
    <n v="16.767352716207544"/>
    <n v="2.3953361023153632"/>
    <n v="0.66086012004001327"/>
    <n v="5.6864779874213838"/>
    <n v="216.32003999999995"/>
    <n v="4.4363897122060451E-2"/>
    <n v="1.8144757120756485E-3"/>
    <n v="833.33333333333337"/>
    <n v="750"/>
    <n v="5289.020919999999"/>
    <n v="1.8144757120756485E-3"/>
    <n v="4103.1446540880497"/>
    <n v="1583.3333333333335"/>
    <s v="Luisa"/>
    <s v="Luisa"/>
    <x v="5"/>
  </r>
  <r>
    <x v="11"/>
    <x v="0"/>
    <x v="12"/>
    <n v="0"/>
    <n v="0"/>
    <n v="0"/>
    <n v="0"/>
    <n v="0"/>
    <n v="0"/>
    <n v="0"/>
    <n v="0"/>
    <n v="0"/>
    <n v="0"/>
    <n v="1.6E-2"/>
    <n v="3.6999999999999998E-2"/>
    <n v="0"/>
    <n v="0"/>
    <n v="0"/>
    <n v="0"/>
    <x v="0"/>
    <n v="0"/>
    <n v="0"/>
    <n v="0"/>
    <n v="0"/>
    <n v="5.2999999999999999E-2"/>
    <n v="0"/>
    <n v="216.32003999999995"/>
    <n v="0"/>
    <n v="0"/>
    <n v="0"/>
    <n v="0"/>
    <n v="5289.020919999999"/>
    <n v="0"/>
    <n v="0"/>
    <n v="0"/>
    <s v="Luisa"/>
    <s v="Luisa"/>
    <x v="5"/>
  </r>
  <r>
    <x v="57"/>
    <x v="0"/>
    <x v="57"/>
    <n v="0"/>
    <n v="0"/>
    <n v="1.615"/>
    <n v="-1.615"/>
    <n v="0"/>
    <n v="0"/>
    <n v="0"/>
    <n v="0"/>
    <n v="0"/>
    <n v="0"/>
    <n v="1.6E-2"/>
    <n v="3.6999999999999998E-2"/>
    <n v="-1.615"/>
    <n v="1"/>
    <n v="0"/>
    <n v="0"/>
    <x v="0"/>
    <n v="0"/>
    <n v="0"/>
    <n v="1.7053854276663147"/>
    <n v="1.7053854276663147"/>
    <n v="5.2999999999999999E-2"/>
    <n v="0"/>
    <n v="216.32003999999995"/>
    <n v="0"/>
    <n v="0"/>
    <n v="0"/>
    <n v="0"/>
    <n v="5289.020919999999"/>
    <n v="0"/>
    <n v="0"/>
    <n v="0"/>
    <s v="Luisa"/>
    <s v="Luisa"/>
    <x v="5"/>
  </r>
  <r>
    <x v="26"/>
    <x v="0"/>
    <x v="27"/>
    <n v="0.61282880600728296"/>
    <n v="88.425999999999974"/>
    <n v="0"/>
    <n v="88.425999999999974"/>
    <n v="63.876577999999981"/>
    <n v="54.189999999999984"/>
    <n v="5"/>
    <n v="0"/>
    <n v="4.6865779999999981"/>
    <n v="0"/>
    <n v="1.6E-2"/>
    <n v="3.6999999999999998E-2"/>
    <n v="24.549421999999993"/>
    <n v="0.27762673874199895"/>
    <n v="0"/>
    <n v="0"/>
    <x v="0"/>
    <n v="0"/>
    <n v="0"/>
    <n v="14.9623908041247"/>
    <n v="14.9623908041247"/>
    <n v="0.665828806007283"/>
    <n v="5"/>
    <n v="216.32003999999995"/>
    <n v="0.40877396287463702"/>
    <n v="1.6718784315188525E-2"/>
    <n v="0"/>
    <n v="0"/>
    <n v="5289.020919999999"/>
    <n v="1.6718784315188525E-2"/>
    <n v="0"/>
    <n v="0"/>
    <s v="Luisa"/>
    <s v="Luisa"/>
    <x v="5"/>
  </r>
  <r>
    <x v="37"/>
    <x v="3"/>
    <x v="40"/>
    <n v="0.57004123118228012"/>
    <n v="52.144999999999996"/>
    <n v="42.822000000000003"/>
    <n v="9.3229999999999933"/>
    <n v="58.981556192580214"/>
    <n v="29.724799999999995"/>
    <n v="15.240251572327045"/>
    <n v="8.6455696202531662"/>
    <n v="5.3709350000000002"/>
    <n v="0.05"/>
    <n v="1.6E-2"/>
    <n v="3.6999999999999998E-2"/>
    <n v="-49.658556192580221"/>
    <n v="-5.3264567405964023"/>
    <n v="24.4103056016876"/>
    <n v="0.8212100872566882"/>
    <x v="0"/>
    <n v="26"/>
    <n v="2.6072500000000001"/>
    <n v="204.02517856852447"/>
    <n v="7.8471222526355566"/>
    <n v="0.6730412311822801"/>
    <n v="23.88582119258021"/>
    <n v="2086.1020600000002"/>
    <n v="2.4996380090818754E-2"/>
    <n v="9.8591026181836326E-3"/>
    <n v="1645.5696202531647"/>
    <n v="7000"/>
    <n v="5289.020919999999"/>
    <n v="9.8591026181836326E-3"/>
    <n v="15240.251572327044"/>
    <n v="8645.5696202531653"/>
    <s v="Luiz"/>
    <s v="Luiz"/>
    <x v="5"/>
  </r>
  <r>
    <x v="41"/>
    <x v="3"/>
    <x v="46"/>
    <n v="0.51781977078462182"/>
    <n v="104.35600000000004"/>
    <n v="0"/>
    <n v="104.35600000000004"/>
    <n v="86.074270547567892"/>
    <n v="54.037600000000012"/>
    <n v="12.895597484276728"/>
    <n v="8.3924050632911378"/>
    <n v="10.748668000000004"/>
    <n v="0.05"/>
    <n v="1.6E-2"/>
    <n v="3.6999999999999998E-2"/>
    <n v="18.281729452432145"/>
    <n v="0.17518618433470179"/>
    <n v="0"/>
    <n v="0"/>
    <x v="0"/>
    <n v="22"/>
    <n v="5.2178000000000022"/>
    <n v="56.142174373432489"/>
    <n v="2.5519170169742043"/>
    <n v="0.6208197707846218"/>
    <n v="21.288002547567864"/>
    <n v="2086.1020600000002"/>
    <n v="5.0024398135151658E-2"/>
    <n v="1.9730683916447819E-2"/>
    <n v="1392.4050632911394"/>
    <n v="7000"/>
    <n v="5289.020919999999"/>
    <n v="1.9730683916447819E-2"/>
    <n v="12895.597484276728"/>
    <n v="8392.4050632911385"/>
    <s v="Luiz"/>
    <s v="Luiz"/>
    <x v="5"/>
  </r>
  <r>
    <x v="27"/>
    <x v="3"/>
    <x v="28"/>
    <n v="0.5140452510549991"/>
    <n v="42.056920000000005"/>
    <n v="0"/>
    <n v="42.056920000000005"/>
    <n v="27.223773182790133"/>
    <n v="21.619160000000015"/>
    <n v="2.3446540880503144"/>
    <n v="1.030942334739803"/>
    <n v="2.2290167600000004"/>
    <n v="0"/>
    <n v="1.6E-2"/>
    <n v="3.6999999999999998E-2"/>
    <n v="14.833146817209872"/>
    <n v="0.35269218043570166"/>
    <n v="0"/>
    <n v="0"/>
    <x v="0"/>
    <n v="4"/>
    <n v="0"/>
    <n v="7.7966494905427783"/>
    <n v="1.9491623726356946"/>
    <n v="0.56704525105499914"/>
    <n v="3.3755964227901174"/>
    <n v="2086.1020600000002"/>
    <n v="2.0160528483443425E-2"/>
    <n v="7.9517401492902422E-3"/>
    <n v="253.16455696202533"/>
    <n v="777.77777777777783"/>
    <n v="5289.020919999999"/>
    <n v="7.9517401492902422E-3"/>
    <n v="2344.6540880503144"/>
    <n v="1030.9423347398031"/>
    <s v="Luiz"/>
    <s v="Luiz"/>
    <x v="5"/>
  </r>
  <r>
    <x v="34"/>
    <x v="3"/>
    <x v="37"/>
    <n v="0.52134564954327212"/>
    <n v="85.933600000000169"/>
    <n v="33.000000000000007"/>
    <n v="52.933600000000162"/>
    <n v="67.123781212147364"/>
    <n v="44.801108509591813"/>
    <n v="10.550943396226415"/>
    <n v="4.6392405063291138"/>
    <n v="7.1324888000000133"/>
    <n v="0.03"/>
    <n v="1.6E-2"/>
    <n v="3.6999999999999998E-2"/>
    <n v="-14.190181212147202"/>
    <n v="-0.26807512075783924"/>
    <n v="17.204406434927982"/>
    <n v="0.38401742740906863"/>
    <x v="0"/>
    <n v="18"/>
    <n v="2.578008000000005"/>
    <n v="121.7986958741302"/>
    <n v="6.766594215229456"/>
    <n v="0.60434564954327208"/>
    <n v="15.190183902555528"/>
    <n v="2086.1020600000002"/>
    <n v="4.1193382456081826E-2"/>
    <n v="1.6247543978328637E-2"/>
    <n v="1139.2405063291139"/>
    <n v="3500"/>
    <n v="5289.020919999999"/>
    <n v="1.6247543978328637E-2"/>
    <n v="10550.943396226416"/>
    <n v="4639.2405063291135"/>
    <s v="Luiz"/>
    <s v="Luiz"/>
    <x v="5"/>
  </r>
  <r>
    <x v="43"/>
    <x v="3"/>
    <x v="49"/>
    <n v="0"/>
    <n v="0"/>
    <n v="35"/>
    <n v="-35"/>
    <n v="10.247273306265424"/>
    <n v="0"/>
    <n v="2.9308176100628929"/>
    <n v="7.3164556962025316"/>
    <n v="0"/>
    <n v="0"/>
    <n v="1.6E-2"/>
    <n v="3.6999999999999998E-2"/>
    <n v="-45.247273306265427"/>
    <n v="1.2927792373218694"/>
    <n v="0"/>
    <n v="0"/>
    <x v="0"/>
    <n v="5"/>
    <n v="0"/>
    <n v="47.779591664483021"/>
    <n v="9.5559183328966046"/>
    <n v="5.2999999999999999E-2"/>
    <n v="10.247273306265424"/>
    <n v="2086.1020600000002"/>
    <n v="0"/>
    <n v="0"/>
    <n v="316.45569620253167"/>
    <n v="7000"/>
    <n v="5289.020919999999"/>
    <n v="0"/>
    <n v="2930.817610062893"/>
    <n v="7316.4556962025317"/>
    <s v="Luiz"/>
    <s v="Luiz"/>
    <x v="5"/>
  </r>
  <r>
    <x v="32"/>
    <x v="3"/>
    <x v="34"/>
    <n v="0.5622263450834879"/>
    <n v="53.793100000000003"/>
    <n v="24.303819999999998"/>
    <n v="29.489280000000004"/>
    <n v="41.948817254988327"/>
    <n v="30.243898003710573"/>
    <n v="5.2754716981132077"/>
    <n v="1.9646202531645569"/>
    <n v="4.4648272999999996"/>
    <n v="0.03"/>
    <n v="1.6E-2"/>
    <n v="3.6999999999999998E-2"/>
    <n v="-12.459537254988323"/>
    <n v="-0.42251073118734406"/>
    <n v="13.664247890166974"/>
    <n v="0.45180181101293654"/>
    <x v="0"/>
    <n v="9"/>
    <n v="1.613793"/>
    <n v="88.912780061701312"/>
    <n v="9.8791977846334795"/>
    <n v="0.64522634508348786"/>
    <n v="7.2400919512777646"/>
    <n v="2086.1020600000002"/>
    <n v="2.5786418139101017E-2"/>
    <n v="1.0170710385467716E-2"/>
    <n v="569.62025316455697"/>
    <n v="1395"/>
    <n v="5289.020919999999"/>
    <n v="1.0170710385467716E-2"/>
    <n v="5275.4716981132078"/>
    <n v="1964.620253164557"/>
    <s v="Luiz"/>
    <s v="Luiz"/>
    <x v="5"/>
  </r>
  <r>
    <x v="59"/>
    <x v="3"/>
    <x v="29"/>
    <n v="0.51454301090513166"/>
    <n v="14.107120000000002"/>
    <n v="0"/>
    <n v="14.107120000000002"/>
    <n v="8.9558520212530883"/>
    <n v="7.2587200000000021"/>
    <n v="0.5861635220125786"/>
    <n v="0.36329113924050632"/>
    <n v="0.74767736000000007"/>
    <n v="0"/>
    <n v="1.6E-2"/>
    <n v="3.6999999999999998E-2"/>
    <n v="5.1512679787469136"/>
    <n v="0.36515376481853934"/>
    <n v="0"/>
    <n v="0"/>
    <x v="0"/>
    <n v="1"/>
    <n v="0"/>
    <n v="2.1954892282820815"/>
    <n v="2.1954892282820815"/>
    <n v="0.56754301090513171"/>
    <n v="0.94945466125308497"/>
    <n v="2086.1020600000002"/>
    <n v="6.7624304057300058E-3"/>
    <n v="2.6672460202709887E-3"/>
    <n v="63.291139240506332"/>
    <n v="300"/>
    <n v="5289.020919999999"/>
    <n v="2.6672460202709887E-3"/>
    <n v="586.1635220125786"/>
    <n v="363.29113924050631"/>
    <s v="Luiz"/>
    <s v="Luiz"/>
    <x v="5"/>
  </r>
  <r>
    <x v="60"/>
    <x v="3"/>
    <x v="43"/>
    <n v="0.49095474309510678"/>
    <n v="13.063200000000002"/>
    <n v="0"/>
    <n v="13.063200000000002"/>
    <n v="9.8960495837592539"/>
    <n v="6.4134399999999996"/>
    <n v="1.7584905660377357"/>
    <n v="0.63987341772151896"/>
    <n v="1.0842456"/>
    <n v="0.03"/>
    <n v="1.6E-2"/>
    <n v="3.6999999999999998E-2"/>
    <n v="3.167150416240748"/>
    <n v="0.24244828344056185"/>
    <n v="0"/>
    <n v="0"/>
    <x v="0"/>
    <n v="3"/>
    <n v="0.39189600000000002"/>
    <n v="5.6293643571641621"/>
    <n v="1.8764547857213874"/>
    <n v="0.57395474309510675"/>
    <n v="2.3983639837592547"/>
    <n v="2086.1020600000002"/>
    <n v="6.2620138537229581E-3"/>
    <n v="2.4698711155787989E-3"/>
    <n v="189.87341772151899"/>
    <n v="450"/>
    <n v="5289.020919999999"/>
    <n v="2.4698711155787989E-3"/>
    <n v="1758.4905660377358"/>
    <n v="639.87341772151899"/>
    <s v="Luiz"/>
    <s v="Luiz"/>
    <x v="5"/>
  </r>
  <r>
    <x v="28"/>
    <x v="3"/>
    <x v="30"/>
    <n v="0"/>
    <n v="0"/>
    <n v="3.8981999999999997"/>
    <n v="-3.8981999999999997"/>
    <n v="4.775202933193567"/>
    <n v="0"/>
    <n v="3.5169811320754714"/>
    <n v="1.2582218011180952"/>
    <n v="0"/>
    <n v="0"/>
    <n v="1.6E-2"/>
    <n v="3.6999999999999998E-2"/>
    <n v="-8.6734029331935663"/>
    <n v="2.2249763822260444"/>
    <n v="0"/>
    <n v="0"/>
    <x v="0"/>
    <n v="6"/>
    <n v="0"/>
    <n v="9.1588204151991199"/>
    <n v="1.5264700691998534"/>
    <n v="5.2999999999999999E-2"/>
    <n v="4.775202933193567"/>
    <n v="2086.1020600000002"/>
    <n v="0"/>
    <n v="0"/>
    <n v="379.74683544303798"/>
    <n v="878.47496567505721"/>
    <n v="5289.020919999999"/>
    <n v="0"/>
    <n v="3516.9811320754716"/>
    <n v="1258.2218011180953"/>
    <s v="Luiz"/>
    <s v="Luiz"/>
    <x v="5"/>
  </r>
  <r>
    <x v="29"/>
    <x v="3"/>
    <x v="31"/>
    <n v="0.52103424665482956"/>
    <n v="68.935199999999995"/>
    <n v="14.858129999999999"/>
    <n v="54.077069999999992"/>
    <n v="97.925823226462867"/>
    <n v="35.917600000000007"/>
    <n v="40.445283018867919"/>
    <n v="14.117938607594944"/>
    <n v="7.4450016000000003"/>
    <n v="5.5E-2"/>
    <n v="1.6E-2"/>
    <n v="3.6999999999999998E-2"/>
    <n v="-43.848753226462875"/>
    <n v="-0.81085667597121813"/>
    <n v="7.7415945712495224"/>
    <n v="0.21553763534449744"/>
    <x v="0"/>
    <n v="69"/>
    <n v="3.7914359999999996"/>
    <n v="187.13682058372854"/>
    <n v="2.7121278345467905"/>
    <n v="0.62903424665482954"/>
    <n v="54.563221626462862"/>
    <n v="2086.1020600000002"/>
    <n v="3.3044979592225701E-2"/>
    <n v="1.303364101649271E-2"/>
    <n v="4367.0886075949365"/>
    <n v="9750.8500000000076"/>
    <n v="5289.020919999999"/>
    <n v="1.303364101649271E-2"/>
    <n v="40445.283018867922"/>
    <n v="14117.938607594944"/>
    <s v="Luiz"/>
    <s v="Luiz"/>
    <x v="5"/>
  </r>
  <r>
    <x v="30"/>
    <x v="3"/>
    <x v="32"/>
    <n v="0.54140147816033335"/>
    <n v="249.44520000000011"/>
    <n v="14.480409999999999"/>
    <n v="234.96479000000011"/>
    <n v="242.92912469984034"/>
    <n v="135.05000000000004"/>
    <n v="60.96100628930818"/>
    <n v="26.214166810532092"/>
    <n v="20.703951600000007"/>
    <n v="0.03"/>
    <n v="1.6E-2"/>
    <n v="3.6999999999999998E-2"/>
    <n v="-7.9643346998402365"/>
    <n v="-3.3895864566943129E-2"/>
    <n v="7.8397153783676723"/>
    <n v="5.8050465593244498E-2"/>
    <x v="0"/>
    <n v="104"/>
    <n v="7.4833560000000032"/>
    <n v="270.6495824369469"/>
    <n v="2.6023998311244894"/>
    <n v="0.62440147816033331"/>
    <n v="87.175173099840265"/>
    <n v="2086.1020600000002"/>
    <n v="0.11957478245335709"/>
    <n v="4.7162831036788595E-2"/>
    <n v="6582.2784810126586"/>
    <n v="19631.888329519436"/>
    <n v="5289.020919999999"/>
    <n v="4.7162831036788595E-2"/>
    <n v="60961.006289308178"/>
    <n v="26214.166810532093"/>
    <s v="Luiz"/>
    <s v="Luiz"/>
    <x v="5"/>
  </r>
  <r>
    <x v="35"/>
    <x v="3"/>
    <x v="38"/>
    <n v="0.53733293980535479"/>
    <n v="52.855200000000011"/>
    <n v="12.5"/>
    <n v="40.355200000000011"/>
    <n v="60.600764766741264"/>
    <n v="28.400839999999995"/>
    <n v="20.515723270440251"/>
    <n v="7.2972198963010175"/>
    <n v="4.3869816000000004"/>
    <n v="0.03"/>
    <n v="1.6E-2"/>
    <n v="3.6999999999999998E-2"/>
    <n v="-20.245564766741253"/>
    <n v="-0.50168416379404013"/>
    <n v="6.7166617475669348"/>
    <n v="0.23649517928226546"/>
    <x v="0"/>
    <n v="35"/>
    <n v="1.5856560000000002"/>
    <n v="106.17972269196567"/>
    <n v="3.0337063626275906"/>
    <n v="0.62033293980535475"/>
    <n v="27.81294316674127"/>
    <n v="2086.1020600000002"/>
    <n v="2.5336823645148027E-2"/>
    <n v="9.9933807786867328E-3"/>
    <n v="2215.1898734177216"/>
    <n v="5082.0300228832957"/>
    <n v="5289.020919999999"/>
    <n v="9.9933807786867328E-3"/>
    <n v="20515.723270440252"/>
    <n v="7297.2198963010178"/>
    <s v="Luiz"/>
    <s v="Luiz"/>
    <x v="5"/>
  </r>
  <r>
    <x v="44"/>
    <x v="3"/>
    <x v="50"/>
    <n v="0.52517614888050235"/>
    <n v="229.07152000000002"/>
    <n v="0"/>
    <n v="229.07152000000002"/>
    <n v="166.56864344882436"/>
    <n v="120.30289869180298"/>
    <n v="19.929559748427675"/>
    <n v="7.3232488485936909"/>
    <n v="19.012936159999999"/>
    <n v="0.03"/>
    <n v="1.6E-2"/>
    <n v="3.6999999999999998E-2"/>
    <n v="62.50287655117566"/>
    <n v="0.27285310959291514"/>
    <n v="0"/>
    <n v="0"/>
    <x v="0"/>
    <n v="34"/>
    <n v="6.8721456000000005"/>
    <n v="69.55372553037833"/>
    <n v="2.0456978097170095"/>
    <n v="0.60817614888050231"/>
    <n v="27.252808597021364"/>
    <n v="2086.1020600000002"/>
    <n v="0.10980839547227138"/>
    <n v="4.3310760812797097E-2"/>
    <n v="2151.8987341772154"/>
    <n v="5171.3501144164757"/>
    <n v="5289.020919999999"/>
    <n v="4.3310760812797097E-2"/>
    <n v="19929.559748427673"/>
    <n v="7323.248848593691"/>
    <s v="Luiz"/>
    <s v="Luiz"/>
    <x v="5"/>
  </r>
  <r>
    <x v="45"/>
    <x v="3"/>
    <x v="51"/>
    <n v="0.57236248141640778"/>
    <n v="347.20199999999988"/>
    <n v="93.523579999999995"/>
    <n v="253.6784199999999"/>
    <n v="243.63552953028272"/>
    <n v="198.72539827273954"/>
    <n v="8.2062893081760997"/>
    <n v="7.8860759493670889"/>
    <n v="28.817765999999988"/>
    <n v="0.03"/>
    <n v="1.6E-2"/>
    <n v="3.6999999999999998E-2"/>
    <n v="10.042890469717179"/>
    <n v="3.9589061102308913E-2"/>
    <n v="53.529388319745927"/>
    <n v="0.26936359813595551"/>
    <x v="0"/>
    <n v="14"/>
    <n v="10.416059999999996"/>
    <n v="318.06155553825954"/>
    <n v="22.718682538447108"/>
    <n v="0.65536248141640774"/>
    <n v="16.092365257543189"/>
    <n v="2086.1020600000002"/>
    <n v="0.16643576872744176"/>
    <n v="6.5645798201909925E-2"/>
    <n v="886.0759493670887"/>
    <n v="7000"/>
    <n v="5289.020919999999"/>
    <n v="6.5645798201909925E-2"/>
    <n v="8206.2893081760994"/>
    <n v="7886.0759493670885"/>
    <s v="Luiz"/>
    <s v="Luiz"/>
    <x v="5"/>
  </r>
  <r>
    <x v="60"/>
    <x v="3"/>
    <x v="44"/>
    <n v="0"/>
    <n v="0"/>
    <n v="0"/>
    <n v="0"/>
    <n v="0.79945466125308495"/>
    <n v="0"/>
    <n v="0.5861635220125786"/>
    <n v="0.21329113924050633"/>
    <n v="0"/>
    <n v="0.03"/>
    <n v="1.6E-2"/>
    <n v="3.6999999999999998E-2"/>
    <n v="-0.79945466125308495"/>
    <n v="0"/>
    <n v="0"/>
    <n v="0"/>
    <x v="0"/>
    <n v="1"/>
    <n v="0"/>
    <n v="0.87181533397282984"/>
    <n v="0.87181533397282984"/>
    <n v="8.299999999999999E-2"/>
    <n v="0.79945466125308495"/>
    <n v="2086.1020600000002"/>
    <n v="0"/>
    <n v="0"/>
    <n v="63.291139240506332"/>
    <n v="150"/>
    <n v="5289.020919999999"/>
    <n v="0"/>
    <n v="586.1635220125786"/>
    <n v="213.29113924050634"/>
    <s v="Luiz"/>
    <s v="Luiz"/>
    <x v="5"/>
  </r>
  <r>
    <x v="60"/>
    <x v="3"/>
    <x v="45"/>
    <n v="0"/>
    <n v="0"/>
    <n v="0"/>
    <n v="0"/>
    <n v="3.1978186450123398"/>
    <n v="0"/>
    <n v="2.3446540880503144"/>
    <n v="0.85316455696202531"/>
    <n v="0"/>
    <n v="0.03"/>
    <n v="1.6E-2"/>
    <n v="3.6999999999999998E-2"/>
    <n v="-3.1978186450123398"/>
    <n v="0"/>
    <n v="0"/>
    <n v="0"/>
    <x v="0"/>
    <n v="4"/>
    <n v="0"/>
    <n v="3.4872613358913194"/>
    <n v="0.87181533397282984"/>
    <n v="8.299999999999999E-2"/>
    <n v="3.1978186450123398"/>
    <n v="2086.1020600000002"/>
    <n v="0"/>
    <n v="0"/>
    <n v="253.16455696202533"/>
    <n v="600"/>
    <n v="5289.020919999999"/>
    <n v="0"/>
    <n v="2344.6540880503144"/>
    <n v="853.16455696202536"/>
    <s v="Luiz"/>
    <s v="Luiz"/>
    <x v="5"/>
  </r>
  <r>
    <x v="60"/>
    <x v="3"/>
    <x v="62"/>
    <n v="0"/>
    <n v="0"/>
    <n v="0"/>
    <n v="0"/>
    <n v="0"/>
    <n v="0"/>
    <n v="0"/>
    <n v="0"/>
    <n v="0"/>
    <n v="0.03"/>
    <n v="1.6E-2"/>
    <n v="3.6999999999999998E-2"/>
    <n v="0"/>
    <n v="0"/>
    <n v="0"/>
    <n v="0"/>
    <x v="0"/>
    <n v="0"/>
    <n v="0"/>
    <n v="0"/>
    <n v="0"/>
    <n v="8.299999999999999E-2"/>
    <n v="0"/>
    <n v="2086.1020600000002"/>
    <n v="0"/>
    <n v="0"/>
    <n v="0"/>
    <n v="0"/>
    <n v="5289.020919999999"/>
    <n v="0"/>
    <n v="0"/>
    <n v="0"/>
    <s v="Luiz"/>
    <s v="Luiz"/>
    <x v="5"/>
  </r>
  <r>
    <x v="32"/>
    <x v="3"/>
    <x v="35"/>
    <n v="0.58972674040338324"/>
    <n v="30.21"/>
    <n v="2.6499999999999999E-2"/>
    <n v="30.183500000000002"/>
    <n v="20.972529488839292"/>
    <n v="17.815644827586208"/>
    <n v="0.5861635220125786"/>
    <n v="6.3291139240506333E-2"/>
    <n v="2.5074299999999998"/>
    <n v="0.03"/>
    <n v="1.6E-2"/>
    <n v="3.6999999999999998E-2"/>
    <n v="9.2109705111607099"/>
    <n v="0.30516575318172873"/>
    <n v="1.5627758620689654E-2"/>
    <n v="8.7719298245614026E-4"/>
    <x v="0"/>
    <n v="1"/>
    <n v="0.90629999999999999"/>
    <n v="2.0654136610068239"/>
    <n v="2.0654136610068239"/>
    <n v="0.67272674040338321"/>
    <n v="0.64945466125308493"/>
    <n v="2086.1020600000002"/>
    <n v="1.4481554176692581E-2"/>
    <n v="5.7118322005048914E-3"/>
    <n v="63.291139240506332"/>
    <n v="0"/>
    <n v="5289.020919999999"/>
    <n v="5.7118322005048914E-3"/>
    <n v="586.1635220125786"/>
    <n v="63.291139240506332"/>
    <s v="Luiz"/>
    <s v="Luiz"/>
    <x v="5"/>
  </r>
  <r>
    <x v="47"/>
    <x v="3"/>
    <x v="53"/>
    <n v="0.53697968860753298"/>
    <n v="490.95599999999985"/>
    <n v="0"/>
    <n v="490.95599999999985"/>
    <n v="336.71147978887018"/>
    <n v="263.63339999999988"/>
    <n v="22.860377358490563"/>
    <n v="9.4683544303797458"/>
    <n v="40.749347999999983"/>
    <n v="0.03"/>
    <n v="1.6E-2"/>
    <n v="3.6999999999999998E-2"/>
    <n v="154.24452021112967"/>
    <n v="0.31417177957114223"/>
    <n v="0"/>
    <n v="0"/>
    <x v="0"/>
    <n v="39"/>
    <n v="14.728679999999995"/>
    <n v="85.071062834540754"/>
    <n v="2.1813093034497628"/>
    <n v="0.61997968860753294"/>
    <n v="32.328731788870307"/>
    <n v="2086.1020600000002"/>
    <n v="0.23534610765879777"/>
    <n v="9.2825497842803001E-2"/>
    <n v="2468.3544303797471"/>
    <n v="6999.9999999999991"/>
    <n v="5289.020919999999"/>
    <n v="9.2825497842803001E-2"/>
    <n v="22860.377358490565"/>
    <n v="9468.3544303797462"/>
    <s v="Luiz"/>
    <s v="Luiz"/>
    <x v="5"/>
  </r>
  <r>
    <x v="52"/>
    <x v="3"/>
    <x v="59"/>
    <n v="0.55173214285714289"/>
    <n v="167.99999999999997"/>
    <n v="0"/>
    <n v="167.99999999999997"/>
    <n v="106.63499999999999"/>
    <n v="92.690999999999988"/>
    <n v="0"/>
    <n v="0"/>
    <n v="13.943999999999996"/>
    <n v="0.03"/>
    <n v="1.6E-2"/>
    <n v="3.6999999999999998E-2"/>
    <n v="61.364999999999981"/>
    <n v="0.36526785714285709"/>
    <n v="0"/>
    <n v="0"/>
    <x v="0"/>
    <n v="0"/>
    <n v="5.0399999999999991"/>
    <n v="0"/>
    <n v="0"/>
    <n v="0.63473214285714286"/>
    <n v="0"/>
    <n v="2086.1020600000002"/>
    <n v="8.0532972581408582E-2"/>
    <n v="3.1763912932301276E-2"/>
    <n v="0"/>
    <n v="0"/>
    <n v="5289.020919999999"/>
    <n v="3.1763912932301276E-2"/>
    <n v="0"/>
    <n v="0"/>
    <s v="Luiz"/>
    <s v="Luiz"/>
    <x v="5"/>
  </r>
  <r>
    <x v="56"/>
    <x v="0"/>
    <x v="64"/>
    <n v="0"/>
    <n v="0"/>
    <n v="0"/>
    <n v="0"/>
    <n v="5.1299624985350984"/>
    <n v="0"/>
    <n v="3.5169811320754714"/>
    <n v="1.6129813664596273"/>
    <n v="0"/>
    <n v="0"/>
    <n v="1.6E-2"/>
    <n v="3.6999999999999998E-2"/>
    <n v="-5.1299624985350984"/>
    <n v="0"/>
    <n v="0"/>
    <n v="0"/>
    <x v="0"/>
    <n v="6"/>
    <n v="0"/>
    <n v="5.4170670523073907"/>
    <n v="0.90284450871789845"/>
    <n v="5.2999999999999999E-2"/>
    <n v="5.1299624985350984"/>
    <n v="216.32003999999995"/>
    <n v="0"/>
    <n v="0"/>
    <n v="714.28571428571433"/>
    <n v="898.695652173913"/>
    <n v="5289.020919999999"/>
    <n v="0"/>
    <n v="3516.9811320754716"/>
    <n v="1612.9813664596272"/>
    <s v="Luisa"/>
    <s v="Luisa"/>
    <x v="5"/>
  </r>
  <r>
    <x v="61"/>
    <x v="2"/>
    <x v="65"/>
    <n v="0.55872124756335295"/>
    <n v="30.779999999999998"/>
    <n v="0"/>
    <n v="30.779999999999998"/>
    <n v="23.111031796500409"/>
    <n v="17.197440000000004"/>
    <n v="1.1723270440251572"/>
    <n v="0.64752475247524754"/>
    <n v="4.0937399999999995"/>
    <n v="0.08"/>
    <n v="1.6E-2"/>
    <n v="3.6999999999999998E-2"/>
    <n v="7.6689682034995883"/>
    <n v="0.249154262621819"/>
    <n v="0"/>
    <n v="0"/>
    <x v="0"/>
    <n v="2"/>
    <n v="2.4623999999999997"/>
    <n v="5.9032670338653785"/>
    <n v="2.9516335169326893"/>
    <n v="0.69172124756335296"/>
    <n v="1.8198517965004046"/>
    <n v="2576.7396199999989"/>
    <n v="1.1945328026585787E-2"/>
    <n v="5.8196026193823415E-3"/>
    <n v="247.52475247524754"/>
    <n v="400"/>
    <n v="5289.020919999999"/>
    <n v="5.8196026193823415E-3"/>
    <n v="1172.3270440251572"/>
    <n v="647.52475247524751"/>
    <s v="Leandro"/>
    <s v="Leandro"/>
    <x v="5"/>
  </r>
  <r>
    <x v="62"/>
    <x v="3"/>
    <x v="66"/>
    <n v="0"/>
    <n v="0"/>
    <n v="0"/>
    <n v="0"/>
    <n v="0"/>
    <n v="0"/>
    <n v="0"/>
    <n v="0"/>
    <n v="0"/>
    <n v="0"/>
    <n v="1.6E-2"/>
    <n v="3.6999999999999998E-2"/>
    <n v="0"/>
    <n v="0"/>
    <n v="0"/>
    <n v="0"/>
    <x v="0"/>
    <n v="0"/>
    <n v="0"/>
    <n v="0"/>
    <n v="0"/>
    <n v="5.2999999999999999E-2"/>
    <n v="0"/>
    <n v="2086.1020600000002"/>
    <n v="0"/>
    <n v="0"/>
    <n v="0"/>
    <n v="0"/>
    <n v="5289.020919999999"/>
    <n v="0"/>
    <n v="0"/>
    <n v="0"/>
    <s v="Luiz"/>
    <s v="Luiz"/>
    <x v="5"/>
  </r>
  <r>
    <x v="63"/>
    <x v="1"/>
    <x v="67"/>
    <n v="0"/>
    <n v="0"/>
    <n v="0"/>
    <n v="0"/>
    <n v="0.66511089043363125"/>
    <n v="0"/>
    <n v="0.5861635220125786"/>
    <n v="7.8947368421052627E-2"/>
    <n v="0"/>
    <n v="0"/>
    <n v="1.6E-2"/>
    <n v="3.6999999999999998E-2"/>
    <n v="-0.66511089043363125"/>
    <n v="0"/>
    <n v="0"/>
    <n v="0"/>
    <x v="0"/>
    <n v="1"/>
    <n v="0"/>
    <n v="0.70233462558989579"/>
    <n v="0.70233462558989579"/>
    <n v="5.2999999999999999E-2"/>
    <n v="0.66511089043363125"/>
    <n v="409.85919999999987"/>
    <n v="0"/>
    <n v="0"/>
    <n v="78.94736842105263"/>
    <n v="0"/>
    <n v="5289.020919999999"/>
    <n v="0"/>
    <n v="586.1635220125786"/>
    <n v="78.94736842105263"/>
    <s v="Julliano"/>
    <s v="Julliano"/>
    <x v="5"/>
  </r>
  <r>
    <x v="43"/>
    <x v="3"/>
    <x v="68"/>
    <n v="0"/>
    <n v="0"/>
    <n v="35"/>
    <n v="-35"/>
    <n v="0"/>
    <n v="0"/>
    <n v="0"/>
    <n v="0"/>
    <n v="0"/>
    <n v="0"/>
    <n v="1.6E-2"/>
    <n v="3.6999999999999998E-2"/>
    <n v="-35"/>
    <n v="1"/>
    <n v="0"/>
    <n v="0"/>
    <x v="0"/>
    <n v="0"/>
    <n v="0"/>
    <n v="36.958817317845828"/>
    <n v="36.958817317845828"/>
    <n v="5.2999999999999999E-2"/>
    <n v="0"/>
    <n v="2086.1020600000002"/>
    <n v="0"/>
    <n v="0"/>
    <n v="0"/>
    <n v="0"/>
    <n v="5289.020919999999"/>
    <n v="0"/>
    <n v="0"/>
    <n v="0"/>
    <s v="Luiz"/>
    <s v="Luiz"/>
    <x v="5"/>
  </r>
  <r>
    <x v="64"/>
    <x v="0"/>
    <x v="69"/>
    <n v="0"/>
    <n v="0"/>
    <n v="0"/>
    <n v="0"/>
    <n v="0.70521114106019767"/>
    <n v="0"/>
    <n v="0.5861635220125786"/>
    <n v="0.11904761904761905"/>
    <n v="0"/>
    <n v="0"/>
    <n v="1.6E-2"/>
    <n v="3.6999999999999998E-2"/>
    <n v="-0.70521114106019767"/>
    <n v="0"/>
    <n v="0"/>
    <n v="0"/>
    <x v="0"/>
    <n v="1"/>
    <n v="0"/>
    <n v="0.7446791352272415"/>
    <n v="0.7446791352272415"/>
    <n v="5.2999999999999999E-2"/>
    <n v="0.70521114106019767"/>
    <n v="216.32003999999995"/>
    <n v="0"/>
    <n v="0"/>
    <n v="119.04761904761905"/>
    <n v="0"/>
    <n v="5289.020919999999"/>
    <n v="0"/>
    <n v="586.1635220125786"/>
    <n v="119.04761904761905"/>
    <s v="Luisa"/>
    <s v="Luisa"/>
    <x v="5"/>
  </r>
  <r>
    <x v="65"/>
    <x v="1"/>
    <x v="70"/>
    <n v="0"/>
    <n v="0"/>
    <n v="0"/>
    <n v="0"/>
    <n v="0"/>
    <n v="0"/>
    <n v="0"/>
    <n v="0"/>
    <n v="0"/>
    <n v="0"/>
    <n v="1.6E-2"/>
    <n v="3.6999999999999998E-2"/>
    <n v="0"/>
    <n v="0"/>
    <n v="0"/>
    <n v="0"/>
    <x v="0"/>
    <n v="0"/>
    <n v="0"/>
    <n v="0"/>
    <n v="0"/>
    <n v="5.2999999999999999E-2"/>
    <n v="0"/>
    <n v="409.85919999999987"/>
    <n v="0"/>
    <n v="0"/>
    <n v="0"/>
    <n v="0"/>
    <n v="5289.020919999999"/>
    <n v="0"/>
    <n v="0"/>
    <n v="0"/>
    <s v="Julliano"/>
    <s v="Julliano"/>
    <x v="5"/>
  </r>
  <r>
    <x v="66"/>
    <x v="3"/>
    <x v="71"/>
    <n v="0.50578764350021432"/>
    <n v="83.971999999999994"/>
    <n v="0"/>
    <n v="83.971999999999994"/>
    <n v="46.922515999999995"/>
    <n v="42.471999999999994"/>
    <n v="0"/>
    <n v="0"/>
    <n v="4.4505159999999995"/>
    <n v="0"/>
    <n v="1.6E-2"/>
    <n v="3.6999999999999998E-2"/>
    <n v="37.049484"/>
    <n v="0.44121235649978569"/>
    <n v="0"/>
    <n v="0"/>
    <x v="0"/>
    <n v="0"/>
    <n v="0"/>
    <n v="0"/>
    <n v="0"/>
    <n v="0.55878764350021437"/>
    <n v="0"/>
    <n v="2086.1020600000002"/>
    <n v="4.0253064128607394E-2"/>
    <n v="1.5876662480661923E-2"/>
    <n v="0"/>
    <n v="0"/>
    <n v="5289.020919999999"/>
    <n v="1.5876662480661923E-2"/>
    <n v="0"/>
    <n v="0"/>
    <s v="Luiz"/>
    <s v="Luiz"/>
    <x v="5"/>
  </r>
  <r>
    <x v="67"/>
    <x v="4"/>
    <x v="72"/>
    <m/>
    <m/>
    <m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03C70D-3C90-4ADA-874B-1153E784FAD6}" name="Tabela dinâmica21" cacheId="176" applyNumberFormats="0" applyBorderFormats="0" applyFontFormats="0" applyPatternFormats="0" applyAlignmentFormats="0" applyWidthHeightFormats="1" dataCaption="Valores" showError="1" updatedVersion="8" minRefreshableVersion="3" rowGrandTotals="0" itemPrintTitles="1" createdVersion="8" indent="0" compact="0" compactData="0" gridDropZones="1" multipleFieldFilters="0">
  <location ref="A6:R74" firstHeaderRow="1" firstDataRow="2" firstDataCol="1" rowPageCount="2" colPageCount="1"/>
  <pivotFields count="42">
    <pivotField axis="axisRow" compact="0" outline="0" showAll="0" sortType="descending">
      <items count="115">
        <item m="1" x="88"/>
        <item m="1" x="94"/>
        <item m="1" x="95"/>
        <item m="1" x="96"/>
        <item m="1" x="71"/>
        <item m="1" x="89"/>
        <item m="1" x="97"/>
        <item m="1" x="72"/>
        <item m="1" x="98"/>
        <item m="1" x="74"/>
        <item m="1" x="75"/>
        <item m="1" x="99"/>
        <item m="1" x="76"/>
        <item m="1" x="100"/>
        <item m="1" x="93"/>
        <item x="58"/>
        <item m="1" x="101"/>
        <item m="1" x="90"/>
        <item m="1" x="77"/>
        <item m="1" x="78"/>
        <item m="1" x="91"/>
        <item m="1" x="102"/>
        <item m="1" x="92"/>
        <item m="1" x="79"/>
        <item m="1" x="103"/>
        <item m="1" x="104"/>
        <item x="60"/>
        <item m="1" x="105"/>
        <item m="1" x="80"/>
        <item m="1" x="81"/>
        <item m="1" x="82"/>
        <item m="1" x="83"/>
        <item x="42"/>
        <item m="1" x="106"/>
        <item m="1" x="84"/>
        <item m="1" x="85"/>
        <item m="1" x="107"/>
        <item m="1" x="86"/>
        <item m="1" x="108"/>
        <item m="1" x="87"/>
        <item m="1" x="113"/>
        <item m="1" x="109"/>
        <item x="67"/>
        <item m="1" x="69"/>
        <item m="1" x="70"/>
        <item m="1" x="73"/>
        <item m="1" x="110"/>
        <item x="57"/>
        <item m="1" x="111"/>
        <item m="1" x="112"/>
        <item x="52"/>
        <item x="53"/>
        <item x="54"/>
        <item x="31"/>
        <item x="4"/>
        <item x="36"/>
        <item x="10"/>
        <item x="39"/>
        <item x="17"/>
        <item x="46"/>
        <item x="21"/>
        <item x="50"/>
        <item x="25"/>
        <item x="19"/>
        <item x="20"/>
        <item x="55"/>
        <item x="22"/>
        <item x="23"/>
        <item x="24"/>
        <item x="48"/>
        <item x="5"/>
        <item x="13"/>
        <item x="0"/>
        <item x="1"/>
        <item x="6"/>
        <item x="9"/>
        <item x="14"/>
        <item x="15"/>
        <item x="16"/>
        <item x="51"/>
        <item x="18"/>
        <item x="2"/>
        <item x="3"/>
        <item x="8"/>
        <item x="11"/>
        <item x="26"/>
        <item x="37"/>
        <item x="41"/>
        <item x="27"/>
        <item x="34"/>
        <item x="43"/>
        <item x="32"/>
        <item x="59"/>
        <item x="28"/>
        <item x="29"/>
        <item x="30"/>
        <item x="35"/>
        <item x="44"/>
        <item x="45"/>
        <item x="47"/>
        <item x="56"/>
        <item x="61"/>
        <item m="1" x="68"/>
        <item x="7"/>
        <item x="12"/>
        <item x="33"/>
        <item x="38"/>
        <item x="40"/>
        <item x="49"/>
        <item x="62"/>
        <item x="63"/>
        <item x="64"/>
        <item x="65"/>
        <item x="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7">
        <item m="1" x="5"/>
        <item x="1"/>
        <item x="2"/>
        <item x="0"/>
        <item x="3"/>
        <item x="4"/>
        <item t="default"/>
      </items>
    </pivotField>
    <pivotField axis="axisPage" compact="0" outline="0" showAll="0" sortType="descending">
      <items count="75">
        <item x="55"/>
        <item x="54"/>
        <item x="40"/>
        <item x="46"/>
        <item x="28"/>
        <item x="37"/>
        <item x="7"/>
        <item x="47"/>
        <item x="49"/>
        <item x="34"/>
        <item x="5"/>
        <item x="14"/>
        <item x="29"/>
        <item x="8"/>
        <item x="43"/>
        <item x="0"/>
        <item x="30"/>
        <item x="31"/>
        <item x="1"/>
        <item x="32"/>
        <item m="1" x="73"/>
        <item x="6"/>
        <item x="38"/>
        <item x="10"/>
        <item x="15"/>
        <item x="16"/>
        <item x="17"/>
        <item x="58"/>
        <item x="50"/>
        <item x="51"/>
        <item x="19"/>
        <item x="2"/>
        <item x="3"/>
        <item x="9"/>
        <item x="12"/>
        <item x="44"/>
        <item x="45"/>
        <item x="62"/>
        <item x="22"/>
        <item x="41"/>
        <item x="35"/>
        <item x="53"/>
        <item x="59"/>
        <item x="57"/>
        <item x="56"/>
        <item x="26"/>
        <item x="20"/>
        <item x="21"/>
        <item x="23"/>
        <item x="24"/>
        <item x="25"/>
        <item x="13"/>
        <item x="33"/>
        <item x="4"/>
        <item x="61"/>
        <item x="27"/>
        <item x="39"/>
        <item x="11"/>
        <item x="42"/>
        <item x="48"/>
        <item x="18"/>
        <item x="52"/>
        <item x="72"/>
        <item x="63"/>
        <item x="64"/>
        <item x="65"/>
        <item x="36"/>
        <item x="60"/>
        <item x="66"/>
        <item x="67"/>
        <item x="68"/>
        <item x="69"/>
        <item x="70"/>
        <item x="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axis="axisPage" compact="0" numFmtId="1" outline="0" showAll="0">
      <items count="3">
        <item x="0"/>
        <item x="1"/>
        <item t="default"/>
      </items>
    </pivotField>
    <pivotField dataField="1" compact="0" numFmtId="3" outline="0" showAll="0"/>
    <pivotField dataField="1" compact="0" outline="0" showAll="0"/>
    <pivotField compact="0" numFmtId="3" outline="0" showAll="0"/>
    <pivotField compact="0" numFmtId="165" outline="0" showAll="0"/>
    <pivotField compact="0" numFmtId="10" outline="0" showAll="0"/>
    <pivotField compact="0" numFmtId="3" outline="0" showAll="0"/>
    <pivotField compact="0" numFmtId="3" outline="0" showAll="0"/>
    <pivotField compact="0" numFmtId="9" outline="0" showAll="0"/>
    <pivotField dataField="1" compact="0" numFmtId="9" outline="0" showAll="0"/>
    <pivotField compact="0" numFmtId="3" outline="0" showAll="0"/>
    <pivotField compact="0" numFmtId="3" outline="0" showAll="0"/>
    <pivotField compact="0" numFmtId="3" outline="0" showAll="0"/>
    <pivotField compact="0" numFmtId="9" outline="0" showAll="0"/>
    <pivotField compact="0" numFmtId="3" outline="0" showAll="0"/>
    <pivotField compact="0" numFmtId="3" outline="0" showAll="0"/>
    <pivotField compact="0" outline="0" showAll="0"/>
    <pivotField compact="0" outline="0" showAll="0"/>
    <pivotField compact="0" outline="0" showAll="0">
      <items count="8">
        <item x="0"/>
        <item x="1"/>
        <item x="2"/>
        <item x="3"/>
        <item x="4"/>
        <item x="5"/>
        <item x="6"/>
        <item t="default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0"/>
  </rowFields>
  <rowItems count="67">
    <i>
      <x v="62"/>
    </i>
    <i>
      <x v="60"/>
    </i>
    <i>
      <x v="99"/>
    </i>
    <i>
      <x v="63"/>
    </i>
    <i>
      <x v="68"/>
    </i>
    <i>
      <x v="64"/>
    </i>
    <i>
      <x v="98"/>
    </i>
    <i>
      <x v="32"/>
    </i>
    <i>
      <x v="97"/>
    </i>
    <i>
      <x v="66"/>
    </i>
    <i>
      <x v="95"/>
    </i>
    <i>
      <x v="87"/>
    </i>
    <i>
      <x v="50"/>
    </i>
    <i>
      <x v="85"/>
    </i>
    <i>
      <x v="91"/>
    </i>
    <i>
      <x v="89"/>
    </i>
    <i>
      <x v="86"/>
    </i>
    <i>
      <x v="57"/>
    </i>
    <i>
      <x v="94"/>
    </i>
    <i>
      <x v="96"/>
    </i>
    <i>
      <x v="90"/>
    </i>
    <i>
      <x v="107"/>
    </i>
    <i>
      <x v="88"/>
    </i>
    <i>
      <x v="53"/>
    </i>
    <i>
      <x v="77"/>
    </i>
    <i>
      <x v="74"/>
    </i>
    <i>
      <x v="67"/>
    </i>
    <i>
      <x v="59"/>
    </i>
    <i>
      <x v="93"/>
    </i>
    <i>
      <x v="109"/>
    </i>
    <i>
      <x v="72"/>
    </i>
    <i>
      <x v="103"/>
    </i>
    <i>
      <x v="15"/>
    </i>
    <i>
      <x v="113"/>
    </i>
    <i>
      <x v="100"/>
    </i>
    <i>
      <x v="55"/>
    </i>
    <i>
      <x v="83"/>
    </i>
    <i>
      <x v="101"/>
    </i>
    <i>
      <x v="26"/>
    </i>
    <i>
      <x v="58"/>
    </i>
    <i>
      <x v="52"/>
    </i>
    <i>
      <x v="73"/>
    </i>
    <i>
      <x v="54"/>
    </i>
    <i>
      <x v="69"/>
    </i>
    <i>
      <x v="110"/>
    </i>
    <i>
      <x v="92"/>
    </i>
    <i>
      <x v="61"/>
    </i>
    <i>
      <x v="76"/>
    </i>
    <i>
      <x v="71"/>
    </i>
    <i>
      <x v="47"/>
    </i>
    <i>
      <x v="75"/>
    </i>
    <i>
      <x v="112"/>
    </i>
    <i>
      <x v="80"/>
    </i>
    <i>
      <x v="56"/>
    </i>
    <i>
      <x v="104"/>
    </i>
    <i>
      <x v="84"/>
    </i>
    <i>
      <x v="105"/>
    </i>
    <i>
      <x v="106"/>
    </i>
    <i>
      <x v="82"/>
    </i>
    <i>
      <x v="108"/>
    </i>
    <i>
      <x v="81"/>
    </i>
    <i>
      <x v="111"/>
    </i>
    <i>
      <x v="65"/>
    </i>
    <i>
      <x v="70"/>
    </i>
    <i>
      <x v="51"/>
    </i>
    <i>
      <x v="78"/>
    </i>
    <i>
      <x v="79"/>
    </i>
  </rowItems>
  <colFields count="1">
    <field x="-2"/>
  </colFields>
  <col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colItems>
  <pageFields count="2">
    <pageField fld="19" item="0" hier="-1"/>
    <pageField fld="2" hier="-1"/>
  </pageFields>
  <dataFields count="17">
    <dataField name=" Faturamento Bruto" fld="4" baseField="0" baseItem="0"/>
    <dataField name=" Investimento" fld="5" baseField="0" baseItem="0"/>
    <dataField name=" Faturamento Líquido" fld="6" baseField="0" baseItem="0"/>
    <dataField name=" Despesas" fld="7" baseField="0" baseItem="0"/>
    <dataField name=" Investimento Custo" fld="17" baseField="0" baseItem="0"/>
    <dataField name="  CPV" fld="38" baseField="0" baseItem="0"/>
    <dataField name="  % Investimento" fld="39" baseField="0" baseItem="0"/>
    <dataField name="  Lucro" fld="40" baseField="0" baseItem="0"/>
    <dataField name="  % Lucro" fld="41" baseField="0" baseItem="0"/>
    <dataField name=" DGA" fld="9" baseField="0" baseItem="0"/>
    <dataField name=" Custo Rede" fld="10" baseField="0" baseItem="0"/>
    <dataField name=" Lojas" fld="20" baseField="0" baseItem="32" numFmtId="3"/>
    <dataField name=" Valor Contrato" fld="21" baseField="0" baseItem="0"/>
    <dataField name=" Contrato" fld="12" subtotal="average" baseField="0" baseItem="15" numFmtId="164"/>
    <dataField name=" CPV Custo" fld="8" baseField="0" baseItem="0"/>
    <dataField name=" % Rede" fld="28" subtotal="average" baseField="0" baseItem="41" numFmtId="9"/>
    <dataField name="  Contrato +Frete +ICMS" fld="11" baseField="0" baseItem="0"/>
  </dataFields>
  <formats count="38">
    <format dxfId="189">
      <pivotArea type="all" dataOnly="0" outline="0" fieldPosition="0"/>
    </format>
    <format dxfId="188">
      <pivotArea type="all" dataOnly="0" outline="0" fieldPosition="0"/>
    </format>
    <format dxfId="187">
      <pivotArea dataOnly="0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6">
      <pivotArea dataOnly="0" outline="0" fieldPosition="0">
        <references count="1">
          <reference field="4294967294" count="4">
            <x v="5"/>
            <x v="6"/>
            <x v="7"/>
            <x v="8"/>
          </reference>
        </references>
      </pivotArea>
    </format>
    <format dxfId="185">
      <pivotArea dataOnly="0" outline="0" fieldPosition="0">
        <references count="1">
          <reference field="4294967294" count="1">
            <x v="7"/>
          </reference>
        </references>
      </pivotArea>
    </format>
    <format dxfId="184">
      <pivotArea field="0" type="button" dataOnly="0" labelOnly="1" outline="0" axis="axisRow" fieldPosition="0"/>
    </format>
    <format dxfId="183">
      <pivotArea dataOnly="0" labelOnly="1" outline="0" fieldPosition="0">
        <references count="1">
          <reference field="4294967294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182">
      <pivotArea dataOnly="0" outline="0" fieldPosition="0">
        <references count="2">
          <reference field="4294967294" count="2">
            <x v="9"/>
            <x v="10"/>
          </reference>
          <reference field="19" count="1" selected="0">
            <x v="0"/>
          </reference>
        </references>
      </pivotArea>
    </format>
    <format dxfId="181">
      <pivotArea field="0" type="button" dataOnly="0" labelOnly="1" outline="0" axis="axisRow" fieldPosition="0"/>
    </format>
    <format dxfId="180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79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178">
      <pivotArea dataOnly="0" outline="0" fieldPosition="0">
        <references count="2">
          <reference field="4294967294" count="1">
            <x v="12"/>
          </reference>
          <reference field="19" count="1" selected="0">
            <x v="0"/>
          </reference>
        </references>
      </pivotArea>
    </format>
    <format dxfId="177">
      <pivotArea dataOnly="0" outline="0" fieldPosition="0">
        <references count="2">
          <reference field="4294967294" count="1">
            <x v="13"/>
          </reference>
          <reference field="19" count="1" selected="0">
            <x v="0"/>
          </reference>
        </references>
      </pivotArea>
    </format>
    <format dxfId="176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175">
      <pivotArea dataOnly="0" outline="0" fieldPosition="0">
        <references count="2">
          <reference field="4294967294" count="1">
            <x v="14"/>
          </reference>
          <reference field="19" count="1" selected="0">
            <x v="0"/>
          </reference>
        </references>
      </pivotArea>
    </format>
    <format dxfId="174">
      <pivotArea dataOnly="0" labelOnly="1" outline="0" fieldPosition="0">
        <references count="1">
          <reference field="4294967294" count="1">
            <x v="14"/>
          </reference>
        </references>
      </pivotArea>
    </format>
    <format dxfId="173">
      <pivotArea outline="0" collapsedLevelsAreSubtotals="1" fieldPosition="0"/>
    </format>
    <format dxfId="172">
      <pivotArea dataOnly="0" labelOnly="1" outline="0" fieldPosition="0">
        <references count="1">
          <reference field="19" count="1">
            <x v="0"/>
          </reference>
        </references>
      </pivotArea>
    </format>
    <format dxfId="171">
      <pivotArea field="-2" type="button" dataOnly="0" labelOnly="1" outline="0" axis="axisCol" fieldPosition="0"/>
    </format>
    <format dxfId="170">
      <pivotArea type="topRight" dataOnly="0" labelOnly="1" outline="0" fieldPosition="0"/>
    </format>
    <format dxfId="169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168">
      <pivotArea outline="0" collapsedLevelsAreSubtotals="1" fieldPosition="0"/>
    </format>
    <format dxfId="167">
      <pivotArea dataOnly="0" labelOnly="1" outline="0" fieldPosition="0">
        <references count="1">
          <reference field="19" count="1">
            <x v="0"/>
          </reference>
        </references>
      </pivotArea>
    </format>
    <format dxfId="166">
      <pivotArea field="-2" type="button" dataOnly="0" labelOnly="1" outline="0" axis="axisCol" fieldPosition="0"/>
    </format>
    <format dxfId="165">
      <pivotArea type="topRight" dataOnly="0" labelOnly="1" outline="0" fieldPosition="0"/>
    </format>
    <format dxfId="164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163">
      <pivotArea dataOnly="0" outline="0" fieldPosition="0">
        <references count="2">
          <reference field="4294967294" count="1">
            <x v="1"/>
          </reference>
          <reference field="19" count="1" selected="0">
            <x v="0"/>
          </reference>
        </references>
      </pivotArea>
    </format>
    <format dxfId="162">
      <pivotArea dataOnly="0" outline="0" fieldPosition="0">
        <references count="2">
          <reference field="4294967294" count="1">
            <x v="16"/>
          </reference>
          <reference field="19" count="1" selected="0">
            <x v="0"/>
          </reference>
        </references>
      </pivotArea>
    </format>
    <format dxfId="161">
      <pivotArea dataOnly="0" labelOnly="1" outline="0" fieldPosition="0">
        <references count="1">
          <reference field="4294967294" count="1">
            <x v="16"/>
          </reference>
        </references>
      </pivotArea>
    </format>
    <format dxfId="160">
      <pivotArea dataOnly="0" labelOnly="1" outline="0" fieldPosition="0">
        <references count="1">
          <reference field="2" count="0"/>
        </references>
      </pivotArea>
    </format>
    <format dxfId="159">
      <pivotArea outline="0" fieldPosition="0">
        <references count="1">
          <reference field="4294967294" count="1" selected="0">
            <x v="13"/>
          </reference>
        </references>
      </pivotArea>
    </format>
    <format dxfId="158">
      <pivotArea dataOnly="0" outline="0" fieldPosition="0">
        <references count="1">
          <reference field="4294967294" count="5">
            <x v="9"/>
            <x v="10"/>
            <x v="12"/>
            <x v="14"/>
            <x v="16"/>
          </reference>
        </references>
      </pivotArea>
    </format>
    <format dxfId="157">
      <pivotArea dataOnly="0" labelOnly="1" outline="0" fieldPosition="0">
        <references count="1">
          <reference field="0" count="0"/>
        </references>
      </pivotArea>
    </format>
    <format dxfId="156">
      <pivotArea outline="0" fieldPosition="0">
        <references count="2">
          <reference field="4294967294" count="1" selected="0">
            <x v="1"/>
          </reference>
          <reference field="0" count="1" selected="0">
            <x v="73"/>
          </reference>
        </references>
      </pivotArea>
    </format>
    <format dxfId="155">
      <pivotArea outline="0" fieldPosition="0">
        <references count="2">
          <reference field="4294967294" count="1" selected="0">
            <x v="1"/>
          </reference>
          <reference field="0" count="1" selected="0">
            <x v="73"/>
          </reference>
        </references>
      </pivotArea>
    </format>
    <format dxfId="154">
      <pivotArea outline="0" fieldPosition="0">
        <references count="2">
          <reference field="4294967294" count="1" selected="0">
            <x v="2"/>
          </reference>
          <reference field="0" count="1" selected="0">
            <x v="73"/>
          </reference>
        </references>
      </pivotArea>
    </format>
    <format dxfId="153">
      <pivotArea outline="0" fieldPosition="0">
        <references count="2">
          <reference field="4294967294" count="1" selected="0">
            <x v="1"/>
          </reference>
          <reference field="0" count="1" selected="0">
            <x v="73"/>
          </reference>
        </references>
      </pivotArea>
    </format>
    <format dxfId="152">
      <pivotArea outline="0" fieldPosition="0">
        <references count="2">
          <reference field="4294967294" count="1" selected="0">
            <x v="1"/>
          </reference>
          <reference field="0" count="1" selected="0">
            <x v="73"/>
          </reference>
        </references>
      </pivotArea>
    </format>
  </formats>
  <conditionalFormats count="3">
    <conditionalFormat priority="1">
      <pivotAreas count="1">
        <pivotArea type="data" outline="0" collapsedLevelsAreSubtotals="1" fieldPosition="0">
          <references count="2">
            <reference field="4294967294" count="1" selected="0">
              <x v="7"/>
            </reference>
            <reference field="0" count="1" selected="0">
              <x v="60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2">
            <reference field="4294967294" count="1" selected="0">
              <x v="7"/>
            </reference>
            <reference field="0" count="1" selected="0">
              <x v="60"/>
            </reference>
          </references>
        </pivotArea>
      </pivotAreas>
    </conditionalFormat>
    <conditionalFormat priority="3">
      <pivotAreas count="1">
        <pivotArea type="data" outline="0" collapsedLevelsAreSubtotals="1" fieldPosition="0">
          <references count="2">
            <reference field="4294967294" count="1" selected="0">
              <x v="8"/>
            </reference>
            <reference field="0" count="1" selected="0">
              <x v="6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esponsável" xr10:uid="{BEA61688-11F0-4241-B940-6A53D3E2D509}" sourceName="Responsável">
  <pivotTables>
    <pivotTable tabId="6" name="Tabela dinâmica21"/>
  </pivotTables>
  <data>
    <tabular pivotCacheId="1999291727">
      <items count="6">
        <i x="1" s="1"/>
        <i x="2" s="1"/>
        <i x="0" s="1"/>
        <i x="3" s="1"/>
        <i x="5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ompetência" xr10:uid="{CB39888B-50C2-4BD5-B508-32FD6A1DBA6B}" sourceName="Competência">
  <pivotTables>
    <pivotTable tabId="6" name="Tabela dinâmica21"/>
  </pivotTables>
  <data>
    <tabular pivotCacheId="1999291727">
      <items count="7">
        <i x="0" s="1"/>
        <i x="1" s="1"/>
        <i x="2" s="1"/>
        <i x="3" s="1"/>
        <i x="4" s="1"/>
        <i x="5" s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sponsável" xr10:uid="{789A0A97-C6BB-4EFE-AF9D-7C6A43CB65AD}" cache="SegmentaçãodeDados_Responsável" caption="Responsável" columnCount="2" style="SlicerStyleLight2" rowHeight="324000"/>
  <slicer name="Competência" xr10:uid="{7260B118-B07D-4245-B867-A161126182CD}" cache="SegmentaçãodeDados_Competência" caption="Competência" columnCount="2" rowHeight="251883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C1" dT="2025-09-01T13:43:32.75" personId="{6F94681E-A809-4CE5-92D7-06C1920C6C06}" id="{1EF1BD84-3EE6-4F9B-BD0C-2C0B4B422A6B}">
    <text>Rateio Gestor</text>
  </threadedComment>
  <threadedComment ref="AD1" dT="2025-09-01T13:44:12.73" personId="{6F94681E-A809-4CE5-92D7-06C1920C6C06}" id="{417BF48B-5941-4134-9172-E80D589610C9}">
    <text>RateioDGA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6F6C7-F4C3-44FF-96E5-9B6FF95A8955}">
  <dimension ref="A1:S118"/>
  <sheetViews>
    <sheetView showGridLines="0" tabSelected="1" zoomScale="85" zoomScaleNormal="85" workbookViewId="0">
      <pane ySplit="7" topLeftCell="A8" activePane="bottomLeft" state="frozen"/>
      <selection activeCell="A4" sqref="A4"/>
      <selection pane="bottomLeft" activeCell="I14" sqref="I14"/>
    </sheetView>
  </sheetViews>
  <sheetFormatPr defaultRowHeight="14.5" x14ac:dyDescent="0.35"/>
  <cols>
    <col min="1" max="1" width="28.81640625" customWidth="1"/>
    <col min="2" max="2" width="12.90625" style="3" customWidth="1"/>
    <col min="3" max="4" width="12.26953125" style="3" customWidth="1"/>
    <col min="5" max="5" width="11.6328125" style="3" customWidth="1"/>
    <col min="6" max="6" width="12.6328125" style="3" hidden="1" customWidth="1"/>
    <col min="7" max="7" width="11.26953125" style="3" customWidth="1"/>
    <col min="8" max="8" width="11.7265625" style="3" customWidth="1"/>
    <col min="9" max="9" width="11.81640625" style="3" customWidth="1"/>
    <col min="10" max="10" width="13.453125" style="3" customWidth="1"/>
    <col min="11" max="11" width="10.81640625" style="3" customWidth="1"/>
    <col min="12" max="12" width="12.6328125" style="3" customWidth="1"/>
    <col min="13" max="13" width="9.6328125" style="3" customWidth="1"/>
    <col min="14" max="14" width="10.453125" style="3" customWidth="1"/>
    <col min="15" max="15" width="9.90625" style="41" customWidth="1"/>
    <col min="16" max="16" width="10.453125" style="3" customWidth="1"/>
    <col min="18" max="18" width="10.453125" style="3" customWidth="1"/>
  </cols>
  <sheetData>
    <row r="1" spans="1:19" s="28" customFormat="1" ht="23.5" x14ac:dyDescent="0.35">
      <c r="B1" s="29">
        <f>SUM(B8:B300)</f>
        <v>32033.411669999998</v>
      </c>
      <c r="C1" s="29">
        <f>SUM(C8:C300)</f>
        <v>4794.6395521999993</v>
      </c>
      <c r="D1" s="29">
        <f>SUM(D8:D300)</f>
        <v>27238.772117799999</v>
      </c>
      <c r="E1" s="29">
        <f>SUM(E8:E300)</f>
        <v>24616.329822675631</v>
      </c>
      <c r="F1" s="29">
        <f>SUM(F8:F300)</f>
        <v>2249.9524820331862</v>
      </c>
      <c r="G1" s="30">
        <f>P1/B1</f>
        <v>0.52634334441585762</v>
      </c>
      <c r="H1" s="30">
        <f>C1/B1</f>
        <v>0.149676206880277</v>
      </c>
      <c r="I1" s="29">
        <f>SUM(I8:I300)</f>
        <v>2622.4422951243655</v>
      </c>
      <c r="J1" s="31">
        <f>I1/D1</f>
        <v>9.6276083363194306E-2</v>
      </c>
      <c r="K1" s="29">
        <f>SUM(K8:K300)</f>
        <v>2470.1317634420766</v>
      </c>
      <c r="L1" s="29">
        <f>SUM(L8:L300)</f>
        <v>1600.965187271803</v>
      </c>
      <c r="M1" s="29">
        <f>SUM(M8:M300)</f>
        <v>4676</v>
      </c>
      <c r="N1" s="29">
        <f>SUM(N8:N300)</f>
        <v>1808.4331398999996</v>
      </c>
      <c r="O1" s="32">
        <f>N1/B1</f>
        <v>5.6454590554700028E-2</v>
      </c>
      <c r="P1" s="29">
        <f>SUM(P8:P300)</f>
        <v>16860.573031437762</v>
      </c>
      <c r="Q1" s="51">
        <f>SUM(Q8:Q300)</f>
        <v>0.97658338965020952</v>
      </c>
      <c r="R1" s="29">
        <f>SUM(R8:R300)</f>
        <v>3684.6598405239984</v>
      </c>
    </row>
    <row r="2" spans="1:19" hidden="1" x14ac:dyDescent="0.35"/>
    <row r="3" spans="1:19" hidden="1" x14ac:dyDescent="0.35">
      <c r="A3" s="42" t="s">
        <v>90</v>
      </c>
      <c r="B3" s="61">
        <v>1</v>
      </c>
    </row>
    <row r="4" spans="1:19" hidden="1" x14ac:dyDescent="0.35">
      <c r="A4" s="42" t="s">
        <v>56</v>
      </c>
      <c r="B4" s="54" t="s">
        <v>124</v>
      </c>
    </row>
    <row r="5" spans="1:19" s="21" customFormat="1" hidden="1" x14ac:dyDescent="0.35">
      <c r="A5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56"/>
      <c r="P5" s="3"/>
      <c r="R5" s="3"/>
    </row>
    <row r="6" spans="1:19" hidden="1" x14ac:dyDescent="0.35">
      <c r="A6" s="3"/>
      <c r="B6" s="42" t="s">
        <v>85</v>
      </c>
      <c r="O6" s="3"/>
      <c r="Q6" s="3"/>
    </row>
    <row r="7" spans="1:19" s="21" customFormat="1" ht="43.5" x14ac:dyDescent="0.35">
      <c r="A7" s="59" t="s">
        <v>4</v>
      </c>
      <c r="B7" s="26" t="s">
        <v>79</v>
      </c>
      <c r="C7" s="62" t="s">
        <v>80</v>
      </c>
      <c r="D7" s="26" t="s">
        <v>81</v>
      </c>
      <c r="E7" s="26" t="s">
        <v>82</v>
      </c>
      <c r="F7" s="26" t="s">
        <v>83</v>
      </c>
      <c r="G7" s="27" t="s">
        <v>86</v>
      </c>
      <c r="H7" s="27" t="s">
        <v>87</v>
      </c>
      <c r="I7" s="26" t="s">
        <v>88</v>
      </c>
      <c r="J7" s="27" t="s">
        <v>89</v>
      </c>
      <c r="K7" s="26" t="s">
        <v>91</v>
      </c>
      <c r="L7" s="26" t="s">
        <v>92</v>
      </c>
      <c r="M7" s="58" t="s">
        <v>0</v>
      </c>
      <c r="N7" s="57" t="s">
        <v>97</v>
      </c>
      <c r="O7" s="41" t="s">
        <v>98</v>
      </c>
      <c r="P7" s="57" t="s">
        <v>99</v>
      </c>
      <c r="Q7" s="3" t="s">
        <v>112</v>
      </c>
      <c r="R7" s="57" t="s">
        <v>123</v>
      </c>
      <c r="S7"/>
    </row>
    <row r="8" spans="1:19" x14ac:dyDescent="0.35">
      <c r="A8" s="54" t="s">
        <v>24</v>
      </c>
      <c r="B8" s="2">
        <v>3900.6111999999994</v>
      </c>
      <c r="C8" s="63">
        <v>472.24312000000009</v>
      </c>
      <c r="D8" s="2">
        <v>3428.3680800000002</v>
      </c>
      <c r="E8" s="2">
        <v>3157.9620056778076</v>
      </c>
      <c r="F8" s="2">
        <v>271.62501742247042</v>
      </c>
      <c r="G8" s="41">
        <v>0.57925489150832188</v>
      </c>
      <c r="H8" s="41">
        <v>0.12106900580093709</v>
      </c>
      <c r="I8" s="2">
        <v>270.40607432219258</v>
      </c>
      <c r="J8" s="41">
        <v>7.8873116308501093E-2</v>
      </c>
      <c r="K8" s="2">
        <v>121.20048131315383</v>
      </c>
      <c r="L8" s="2">
        <v>157.77605617250825</v>
      </c>
      <c r="M8" s="2">
        <v>230</v>
      </c>
      <c r="N8" s="2">
        <v>390.06111999999996</v>
      </c>
      <c r="O8" s="41">
        <v>9.9999999999999992E-2</v>
      </c>
      <c r="P8" s="2">
        <v>2259.448117472145</v>
      </c>
      <c r="Q8" s="55">
        <v>0.11954560499149837</v>
      </c>
      <c r="R8" s="2">
        <v>619.53735072000006</v>
      </c>
    </row>
    <row r="9" spans="1:19" x14ac:dyDescent="0.35">
      <c r="A9" s="54" t="s">
        <v>45</v>
      </c>
      <c r="B9" s="2">
        <v>3851.7005000000008</v>
      </c>
      <c r="C9" s="63">
        <v>523.85209999999995</v>
      </c>
      <c r="D9" s="2">
        <v>3327.8484000000008</v>
      </c>
      <c r="E9" s="2">
        <v>2566.9829248746364</v>
      </c>
      <c r="F9" s="2">
        <v>235.3944583567058</v>
      </c>
      <c r="G9" s="41">
        <v>0.45211472387846008</v>
      </c>
      <c r="H9" s="41">
        <v>0.1360054085202107</v>
      </c>
      <c r="I9" s="2">
        <v>760.86547512536436</v>
      </c>
      <c r="J9" s="41">
        <v>0.22863585826967484</v>
      </c>
      <c r="K9" s="2">
        <v>108.47995979321158</v>
      </c>
      <c r="L9" s="2">
        <v>218.37478939139737</v>
      </c>
      <c r="M9" s="2">
        <v>208</v>
      </c>
      <c r="N9" s="2">
        <v>269.61903500000005</v>
      </c>
      <c r="O9" s="41">
        <v>7.0000000000000007E-2</v>
      </c>
      <c r="P9" s="2">
        <v>1741.410508020027</v>
      </c>
      <c r="Q9" s="55">
        <v>0.11597115880705405</v>
      </c>
      <c r="R9" s="2">
        <v>498.71766767000014</v>
      </c>
    </row>
    <row r="10" spans="1:19" x14ac:dyDescent="0.35">
      <c r="A10" s="54" t="s">
        <v>48</v>
      </c>
      <c r="B10" s="2">
        <v>2919.1365999999994</v>
      </c>
      <c r="C10" s="63">
        <v>522.69624999999996</v>
      </c>
      <c r="D10" s="2">
        <v>2396.4403499999999</v>
      </c>
      <c r="E10" s="2">
        <v>1953.4887924832865</v>
      </c>
      <c r="F10" s="2">
        <v>269.53281211478412</v>
      </c>
      <c r="G10" s="41">
        <v>0.51858986514374095</v>
      </c>
      <c r="H10" s="41">
        <v>0.17905850997174988</v>
      </c>
      <c r="I10" s="2">
        <v>442.95155751671336</v>
      </c>
      <c r="J10" s="41">
        <v>0.18483729733423718</v>
      </c>
      <c r="K10" s="2">
        <v>121.91071635444725</v>
      </c>
      <c r="L10" s="2">
        <v>59.965767498681252</v>
      </c>
      <c r="M10" s="2">
        <v>234</v>
      </c>
      <c r="N10" s="2">
        <v>87.574097999999992</v>
      </c>
      <c r="O10" s="41">
        <v>0.03</v>
      </c>
      <c r="P10" s="2">
        <v>1513.8346557301581</v>
      </c>
      <c r="Q10" s="55">
        <v>9.0965300661870405E-2</v>
      </c>
      <c r="R10" s="2">
        <v>257.77765289999996</v>
      </c>
    </row>
    <row r="11" spans="1:19" x14ac:dyDescent="0.35">
      <c r="A11" s="54" t="s">
        <v>23</v>
      </c>
      <c r="B11" s="2">
        <v>2392.8979399999998</v>
      </c>
      <c r="C11" s="63">
        <v>178.92021999999997</v>
      </c>
      <c r="D11" s="2">
        <v>2213.9777200000003</v>
      </c>
      <c r="E11" s="2">
        <v>1792.351056215384</v>
      </c>
      <c r="F11" s="2">
        <v>89.416542544950602</v>
      </c>
      <c r="G11" s="41">
        <v>0.49398864040143731</v>
      </c>
      <c r="H11" s="41">
        <v>7.4771354435617915E-2</v>
      </c>
      <c r="I11" s="2">
        <v>421.62666378461631</v>
      </c>
      <c r="J11" s="41">
        <v>0.1904385306030163</v>
      </c>
      <c r="K11" s="2">
        <v>106.56188437058478</v>
      </c>
      <c r="L11" s="2">
        <v>96.680836416799295</v>
      </c>
      <c r="M11" s="2">
        <v>203</v>
      </c>
      <c r="N11" s="2">
        <v>263.21877340000003</v>
      </c>
      <c r="O11" s="41">
        <v>0.11</v>
      </c>
      <c r="P11" s="2">
        <v>1182.0644</v>
      </c>
      <c r="Q11" s="55">
        <v>7.4476859604794346E-2</v>
      </c>
      <c r="R11" s="2">
        <v>407.04393542800005</v>
      </c>
    </row>
    <row r="12" spans="1:19" x14ac:dyDescent="0.35">
      <c r="A12" s="54" t="s">
        <v>28</v>
      </c>
      <c r="B12" s="2">
        <v>1808.8316799999993</v>
      </c>
      <c r="C12" s="63">
        <v>188.25518</v>
      </c>
      <c r="D12" s="2">
        <v>1620.5764999999997</v>
      </c>
      <c r="E12" s="2">
        <v>1366.2530429989006</v>
      </c>
      <c r="F12" s="2">
        <v>110.308847090659</v>
      </c>
      <c r="G12" s="41">
        <v>0.57778474780224942</v>
      </c>
      <c r="H12" s="41">
        <v>0.10407556550535429</v>
      </c>
      <c r="I12" s="2">
        <v>254.32345700109909</v>
      </c>
      <c r="J12" s="41">
        <v>0.15693394110126807</v>
      </c>
      <c r="K12" s="2">
        <v>56.266484471283334</v>
      </c>
      <c r="L12" s="2">
        <v>35.976285338098634</v>
      </c>
      <c r="M12" s="2">
        <v>108</v>
      </c>
      <c r="N12" s="2">
        <v>126.61821759999997</v>
      </c>
      <c r="O12" s="41">
        <v>7.0000000000000007E-2</v>
      </c>
      <c r="P12" s="2">
        <v>1045.1153560455186</v>
      </c>
      <c r="Q12" s="55">
        <v>5.6830978006805699E-2</v>
      </c>
      <c r="R12" s="2">
        <v>228.89491714399995</v>
      </c>
    </row>
    <row r="13" spans="1:19" x14ac:dyDescent="0.35">
      <c r="A13" s="54" t="s">
        <v>25</v>
      </c>
      <c r="B13" s="2">
        <v>1556.86868</v>
      </c>
      <c r="C13" s="63">
        <v>192.43474000000003</v>
      </c>
      <c r="D13" s="2">
        <v>1364.4339399999999</v>
      </c>
      <c r="E13" s="2">
        <v>1122.4563757129915</v>
      </c>
      <c r="F13" s="2">
        <v>100.75016281568315</v>
      </c>
      <c r="G13" s="41">
        <v>0.52113421666366877</v>
      </c>
      <c r="H13" s="41">
        <v>0.12360370689710325</v>
      </c>
      <c r="I13" s="2">
        <v>241.97756428700836</v>
      </c>
      <c r="J13" s="41">
        <v>0.17734648574265779</v>
      </c>
      <c r="K13" s="2">
        <v>68.77014768712408</v>
      </c>
      <c r="L13" s="2">
        <v>48.156514809867488</v>
      </c>
      <c r="M13" s="2">
        <v>132</v>
      </c>
      <c r="N13" s="2">
        <v>101.19646420000002</v>
      </c>
      <c r="O13" s="41">
        <v>6.5000000000000002E-2</v>
      </c>
      <c r="P13" s="2">
        <v>811.33753999999999</v>
      </c>
      <c r="Q13" s="55">
        <v>4.7700593611662345E-2</v>
      </c>
      <c r="R13" s="2">
        <v>194.19217321600004</v>
      </c>
    </row>
    <row r="14" spans="1:19" x14ac:dyDescent="0.35">
      <c r="A14" s="54" t="s">
        <v>42</v>
      </c>
      <c r="B14" s="2">
        <v>1486.2280000000005</v>
      </c>
      <c r="C14" s="63">
        <v>341.54536999999999</v>
      </c>
      <c r="D14" s="2">
        <v>1144.6826300000005</v>
      </c>
      <c r="E14" s="2">
        <v>1053.6426739719666</v>
      </c>
      <c r="F14" s="2">
        <v>189.58317054304732</v>
      </c>
      <c r="G14" s="41">
        <v>0.55849616779331279</v>
      </c>
      <c r="H14" s="41">
        <v>0.22980684659419676</v>
      </c>
      <c r="I14" s="2">
        <v>91.039956028033885</v>
      </c>
      <c r="J14" s="41">
        <v>7.9532923486428583E-2</v>
      </c>
      <c r="K14" s="2">
        <v>43.762821255442603</v>
      </c>
      <c r="L14" s="2">
        <v>48.433801449403894</v>
      </c>
      <c r="M14" s="2">
        <v>84</v>
      </c>
      <c r="N14" s="2">
        <v>44.586840000000016</v>
      </c>
      <c r="O14" s="41">
        <v>0.03</v>
      </c>
      <c r="P14" s="2">
        <v>830.05264246711999</v>
      </c>
      <c r="Q14" s="55">
        <v>4.4472202990738563E-2</v>
      </c>
      <c r="R14" s="2">
        <v>131.39340880000003</v>
      </c>
    </row>
    <row r="15" spans="1:19" x14ac:dyDescent="0.35">
      <c r="A15" s="54" t="s">
        <v>31</v>
      </c>
      <c r="B15" s="2">
        <v>1479.9315199999999</v>
      </c>
      <c r="C15" s="63">
        <v>252.42338000000001</v>
      </c>
      <c r="D15" s="2">
        <v>1227.5081399999997</v>
      </c>
      <c r="E15" s="2">
        <v>1301.2960382549213</v>
      </c>
      <c r="F15" s="2">
        <v>152.25263100716293</v>
      </c>
      <c r="G15" s="41">
        <v>0.59297301197225483</v>
      </c>
      <c r="H15" s="41">
        <v>0.17056422989085335</v>
      </c>
      <c r="I15" s="2">
        <v>-73.787898254921629</v>
      </c>
      <c r="J15" s="41">
        <v>-6.0111942113004357E-2</v>
      </c>
      <c r="K15" s="2">
        <v>210.61120163262802</v>
      </c>
      <c r="L15" s="2">
        <v>102.23745274721608</v>
      </c>
      <c r="M15" s="2">
        <v>404</v>
      </c>
      <c r="N15" s="2">
        <v>22.198972799999993</v>
      </c>
      <c r="O15" s="41">
        <v>1.5000000000000005E-2</v>
      </c>
      <c r="P15" s="2">
        <v>877.55945092707714</v>
      </c>
      <c r="Q15" s="55">
        <v>2.2626058038426641E-2</v>
      </c>
      <c r="R15" s="2">
        <v>110.88793294799999</v>
      </c>
    </row>
    <row r="16" spans="1:19" x14ac:dyDescent="0.35">
      <c r="A16" s="54" t="s">
        <v>41</v>
      </c>
      <c r="B16" s="2">
        <v>1329.24144</v>
      </c>
      <c r="C16" s="63">
        <v>376.01983000000001</v>
      </c>
      <c r="D16" s="2">
        <v>953.22161000000006</v>
      </c>
      <c r="E16" s="2">
        <v>926.89133368923478</v>
      </c>
      <c r="F16" s="2">
        <v>128.6942525229976</v>
      </c>
      <c r="G16" s="41">
        <v>0.49724432629097859</v>
      </c>
      <c r="H16" s="41">
        <v>0.28288301785114373</v>
      </c>
      <c r="I16" s="2">
        <v>26.330276310765271</v>
      </c>
      <c r="J16" s="41">
        <v>2.7622408089096166E-2</v>
      </c>
      <c r="K16" s="2">
        <v>104.84172232906981</v>
      </c>
      <c r="L16" s="2">
        <v>46.111430001314602</v>
      </c>
      <c r="M16" s="2">
        <v>201</v>
      </c>
      <c r="N16" s="2">
        <v>39.877243200000002</v>
      </c>
      <c r="O16" s="41">
        <v>0.03</v>
      </c>
      <c r="P16" s="2">
        <v>660.95776431085028</v>
      </c>
      <c r="Q16" s="55">
        <v>4.2049407009196356E-2</v>
      </c>
      <c r="R16" s="2">
        <v>114.98041704799999</v>
      </c>
    </row>
    <row r="17" spans="1:18" x14ac:dyDescent="0.35">
      <c r="A17" s="54" t="s">
        <v>26</v>
      </c>
      <c r="B17" s="2">
        <v>1058.972</v>
      </c>
      <c r="C17" s="63">
        <v>129.12189000000001</v>
      </c>
      <c r="D17" s="2">
        <v>929.85010999999997</v>
      </c>
      <c r="E17" s="2">
        <v>841.71692247728834</v>
      </c>
      <c r="F17" s="2">
        <v>68.577527562324789</v>
      </c>
      <c r="G17" s="41">
        <v>0.52562976169341591</v>
      </c>
      <c r="H17" s="41">
        <v>0.12193135418122482</v>
      </c>
      <c r="I17" s="2">
        <v>88.133187522711637</v>
      </c>
      <c r="J17" s="41">
        <v>9.4782144535866794E-2</v>
      </c>
      <c r="K17" s="2">
        <v>77.22080175360972</v>
      </c>
      <c r="L17" s="2">
        <v>49.647488123678556</v>
      </c>
      <c r="M17" s="2">
        <v>148</v>
      </c>
      <c r="N17" s="2">
        <v>95.307479999999998</v>
      </c>
      <c r="O17" s="41">
        <v>8.9999999999999983E-2</v>
      </c>
      <c r="P17" s="2">
        <v>556.62720000000002</v>
      </c>
      <c r="Q17" s="55">
        <v>3.5340900513875832E-2</v>
      </c>
      <c r="R17" s="2">
        <v>158.22143260000001</v>
      </c>
    </row>
    <row r="18" spans="1:18" x14ac:dyDescent="0.35">
      <c r="A18" s="54" t="s">
        <v>39</v>
      </c>
      <c r="B18" s="2">
        <v>948.81740000000002</v>
      </c>
      <c r="C18" s="63">
        <v>121.92659</v>
      </c>
      <c r="D18" s="2">
        <v>826.89080999999999</v>
      </c>
      <c r="E18" s="2">
        <v>1048.0971264857169</v>
      </c>
      <c r="F18" s="2">
        <v>60.027048146404738</v>
      </c>
      <c r="G18" s="41">
        <v>0.52146981633529099</v>
      </c>
      <c r="H18" s="41">
        <v>0.12850374582085025</v>
      </c>
      <c r="I18" s="2">
        <v>-221.20631648571691</v>
      </c>
      <c r="J18" s="41">
        <v>-0.26751575154852297</v>
      </c>
      <c r="K18" s="2">
        <v>322.95341628105132</v>
      </c>
      <c r="L18" s="2">
        <v>147.23329989093716</v>
      </c>
      <c r="M18" s="2">
        <v>618</v>
      </c>
      <c r="N18" s="2">
        <v>28.464522000000002</v>
      </c>
      <c r="O18" s="41">
        <v>0.03</v>
      </c>
      <c r="P18" s="2">
        <v>494.77963531372836</v>
      </c>
      <c r="Q18" s="55">
        <v>3.0692386161898819E-2</v>
      </c>
      <c r="R18" s="2">
        <v>83.130775</v>
      </c>
    </row>
    <row r="19" spans="1:18" x14ac:dyDescent="0.35">
      <c r="A19" s="54" t="s">
        <v>6</v>
      </c>
      <c r="B19" s="2">
        <v>936.53329999999994</v>
      </c>
      <c r="C19" s="63">
        <v>180.29142000000002</v>
      </c>
      <c r="D19" s="2">
        <v>756.24187999999992</v>
      </c>
      <c r="E19" s="2">
        <v>675.1989499184192</v>
      </c>
      <c r="F19" s="2">
        <v>10.946120699232971</v>
      </c>
      <c r="G19" s="41">
        <v>0.48585747031098631</v>
      </c>
      <c r="H19" s="41">
        <v>0.19250935337803796</v>
      </c>
      <c r="I19" s="2">
        <v>81.042930081580721</v>
      </c>
      <c r="J19" s="41">
        <v>0.10716535572134768</v>
      </c>
      <c r="K19" s="2">
        <v>67.843054341729157</v>
      </c>
      <c r="L19" s="2">
        <v>53.251473936689962</v>
      </c>
      <c r="M19" s="2">
        <v>130</v>
      </c>
      <c r="N19" s="2">
        <v>46.826665000000006</v>
      </c>
      <c r="O19" s="41">
        <v>4.9999999999999996E-2</v>
      </c>
      <c r="P19" s="2">
        <v>455.02170000000001</v>
      </c>
      <c r="Q19" s="55">
        <v>2.9170764809977046E-2</v>
      </c>
      <c r="R19" s="2">
        <v>99.082721640000017</v>
      </c>
    </row>
    <row r="20" spans="1:18" x14ac:dyDescent="0.35">
      <c r="A20" s="54" t="s">
        <v>73</v>
      </c>
      <c r="B20" s="2">
        <v>776.71999999999991</v>
      </c>
      <c r="C20" s="63">
        <v>45.408569999999997</v>
      </c>
      <c r="D20" s="2">
        <v>731.31142999999997</v>
      </c>
      <c r="E20" s="2">
        <v>475.69077896474118</v>
      </c>
      <c r="F20" s="2">
        <v>22.978131842240245</v>
      </c>
      <c r="G20" s="41">
        <v>0.52179240910495406</v>
      </c>
      <c r="H20" s="41">
        <v>5.8461955402204141E-2</v>
      </c>
      <c r="I20" s="2">
        <v>255.62065103525879</v>
      </c>
      <c r="J20" s="41">
        <v>0.34953733874398601</v>
      </c>
      <c r="K20" s="2">
        <v>0</v>
      </c>
      <c r="L20" s="2">
        <v>2.0463229647412335</v>
      </c>
      <c r="M20" s="2">
        <v>0</v>
      </c>
      <c r="N20" s="2">
        <v>23.301599999999997</v>
      </c>
      <c r="O20" s="41">
        <v>0.03</v>
      </c>
      <c r="P20" s="2">
        <v>405.28659999999991</v>
      </c>
      <c r="Q20" s="55">
        <v>2.4584448713329456E-2</v>
      </c>
      <c r="R20" s="2">
        <v>68.357855999999998</v>
      </c>
    </row>
    <row r="21" spans="1:18" x14ac:dyDescent="0.35">
      <c r="A21" s="54" t="s">
        <v>65</v>
      </c>
      <c r="B21" s="2">
        <v>746.36639999999966</v>
      </c>
      <c r="C21" s="63">
        <v>1.2363999999999999</v>
      </c>
      <c r="D21" s="2">
        <v>745.12999999999965</v>
      </c>
      <c r="E21" s="2">
        <v>543.64192779296843</v>
      </c>
      <c r="F21" s="2">
        <v>0.78107028000565881</v>
      </c>
      <c r="G21" s="41">
        <v>0.61536737360225313</v>
      </c>
      <c r="H21" s="41">
        <v>1.6565590305244187E-3</v>
      </c>
      <c r="I21" s="2">
        <v>201.48807220703122</v>
      </c>
      <c r="J21" s="41">
        <v>0.27040660315251208</v>
      </c>
      <c r="K21" s="2">
        <v>30</v>
      </c>
      <c r="L21" s="2">
        <v>10</v>
      </c>
      <c r="M21" s="2">
        <v>0</v>
      </c>
      <c r="N21" s="2">
        <v>0</v>
      </c>
      <c r="O21" s="41">
        <v>0</v>
      </c>
      <c r="P21" s="2">
        <v>459.28953131296851</v>
      </c>
      <c r="Q21" s="55">
        <v>2.4058794342932257E-2</v>
      </c>
      <c r="R21" s="2">
        <v>44.352396479999982</v>
      </c>
    </row>
    <row r="22" spans="1:18" x14ac:dyDescent="0.35">
      <c r="A22" s="54" t="s">
        <v>63</v>
      </c>
      <c r="B22" s="2">
        <v>712.29750000000013</v>
      </c>
      <c r="C22" s="63">
        <v>104.93720999999999</v>
      </c>
      <c r="D22" s="2">
        <v>607.36029000000008</v>
      </c>
      <c r="E22" s="2">
        <v>507.53657981500146</v>
      </c>
      <c r="F22" s="2">
        <v>58.078151271738022</v>
      </c>
      <c r="G22" s="41">
        <v>0.56171875806743665</v>
      </c>
      <c r="H22" s="41">
        <v>0.1473221652469649</v>
      </c>
      <c r="I22" s="2">
        <v>99.823710184998617</v>
      </c>
      <c r="J22" s="41">
        <v>0.16435666247623565</v>
      </c>
      <c r="K22" s="2">
        <v>31.259158039601854</v>
      </c>
      <c r="L22" s="2">
        <v>13.299375480859583</v>
      </c>
      <c r="M22" s="2">
        <v>60</v>
      </c>
      <c r="N22" s="2">
        <v>21.368925000000001</v>
      </c>
      <c r="O22" s="41">
        <v>3.0000000000000009E-2</v>
      </c>
      <c r="P22" s="2">
        <v>400.11086707454001</v>
      </c>
      <c r="Q22" s="55">
        <v>1.1309188831134817E-2</v>
      </c>
      <c r="R22" s="2">
        <v>62.867179219999997</v>
      </c>
    </row>
    <row r="23" spans="1:18" x14ac:dyDescent="0.35">
      <c r="A23" s="54" t="s">
        <v>33</v>
      </c>
      <c r="B23" s="2">
        <v>661.02409999999986</v>
      </c>
      <c r="C23" s="63">
        <v>123.1365122</v>
      </c>
      <c r="D23" s="2">
        <v>537.88758779999978</v>
      </c>
      <c r="E23" s="2">
        <v>478.5329053556294</v>
      </c>
      <c r="F23" s="2">
        <v>62.755129824560349</v>
      </c>
      <c r="G23" s="41">
        <v>0.50942841098096647</v>
      </c>
      <c r="H23" s="41">
        <v>0.186281426350416</v>
      </c>
      <c r="I23" s="2">
        <v>59.354682444370383</v>
      </c>
      <c r="J23" s="41">
        <v>0.11034774512484188</v>
      </c>
      <c r="K23" s="2">
        <v>55.882869386757974</v>
      </c>
      <c r="L23" s="2">
        <v>27.552409451748055</v>
      </c>
      <c r="M23" s="2">
        <v>107</v>
      </c>
      <c r="N23" s="2">
        <v>19.830722999999992</v>
      </c>
      <c r="O23" s="41">
        <v>0.03</v>
      </c>
      <c r="P23" s="2">
        <v>336.74445688312341</v>
      </c>
      <c r="Q23" s="55">
        <v>2.1454742521724843E-2</v>
      </c>
      <c r="R23" s="2">
        <v>58.35316963399999</v>
      </c>
    </row>
    <row r="24" spans="1:18" x14ac:dyDescent="0.35">
      <c r="A24" s="54" t="s">
        <v>5</v>
      </c>
      <c r="B24" s="2">
        <v>633.30199999999991</v>
      </c>
      <c r="C24" s="63">
        <v>99.588909999999998</v>
      </c>
      <c r="D24" s="2">
        <v>533.71308999999997</v>
      </c>
      <c r="E24" s="2">
        <v>546.66988352044643</v>
      </c>
      <c r="F24" s="2">
        <v>55.287959994240211</v>
      </c>
      <c r="G24" s="41">
        <v>0.54620378060809338</v>
      </c>
      <c r="H24" s="41">
        <v>0.15725342727482308</v>
      </c>
      <c r="I24" s="2">
        <v>-12.956793520446467</v>
      </c>
      <c r="J24" s="41">
        <v>-2.4276701777066156E-2</v>
      </c>
      <c r="K24" s="2">
        <v>81.273810902964826</v>
      </c>
      <c r="L24" s="2">
        <v>50.533946350814986</v>
      </c>
      <c r="M24" s="2">
        <v>156</v>
      </c>
      <c r="N24" s="2">
        <v>31.665100000000002</v>
      </c>
      <c r="O24" s="41">
        <v>4.9999999999999996E-2</v>
      </c>
      <c r="P24" s="2">
        <v>345.91194666666672</v>
      </c>
      <c r="Q24" s="55">
        <v>2.0319946070481928E-2</v>
      </c>
      <c r="R24" s="2">
        <v>68.950179599999998</v>
      </c>
    </row>
    <row r="25" spans="1:18" x14ac:dyDescent="0.35">
      <c r="A25" s="54" t="s">
        <v>51</v>
      </c>
      <c r="B25" s="2">
        <v>547.41447999999991</v>
      </c>
      <c r="C25" s="63">
        <v>65.247929999999997</v>
      </c>
      <c r="D25" s="2">
        <v>482.1665499999998</v>
      </c>
      <c r="E25" s="2">
        <v>457.41406191219204</v>
      </c>
      <c r="F25" s="2">
        <v>30.932971612406238</v>
      </c>
      <c r="G25" s="41">
        <v>0.49401252342262059</v>
      </c>
      <c r="H25" s="41">
        <v>0.11919291941272728</v>
      </c>
      <c r="I25" s="2">
        <v>24.752488087807762</v>
      </c>
      <c r="J25" s="41">
        <v>5.1335971124101772E-2</v>
      </c>
      <c r="K25" s="2">
        <v>46.888737059402786</v>
      </c>
      <c r="L25" s="2">
        <v>53.513613129907647</v>
      </c>
      <c r="M25" s="2">
        <v>90</v>
      </c>
      <c r="N25" s="2">
        <v>54.741447999999991</v>
      </c>
      <c r="O25" s="41">
        <v>9.9999999999999992E-2</v>
      </c>
      <c r="P25" s="2">
        <v>270.42960862288163</v>
      </c>
      <c r="Q25" s="55">
        <v>1.7561734304093381E-2</v>
      </c>
      <c r="R25" s="2">
        <v>86.582103099999983</v>
      </c>
    </row>
    <row r="26" spans="1:18" x14ac:dyDescent="0.35">
      <c r="A26" s="54" t="s">
        <v>38</v>
      </c>
      <c r="B26" s="2">
        <v>517.58145999999999</v>
      </c>
      <c r="C26" s="63">
        <v>157.00650999999996</v>
      </c>
      <c r="D26" s="2">
        <v>360.57495</v>
      </c>
      <c r="E26" s="2">
        <v>617.98527778964967</v>
      </c>
      <c r="F26" s="2">
        <v>60.604933775670034</v>
      </c>
      <c r="G26" s="41">
        <v>0.50990439153502443</v>
      </c>
      <c r="H26" s="41">
        <v>0.30334647226351569</v>
      </c>
      <c r="I26" s="2">
        <v>-257.41032778964967</v>
      </c>
      <c r="J26" s="41">
        <v>-0.71388854880143415</v>
      </c>
      <c r="K26" s="2">
        <v>214.15373013515136</v>
      </c>
      <c r="L26" s="2">
        <v>81.95758845038867</v>
      </c>
      <c r="M26" s="2">
        <v>410</v>
      </c>
      <c r="N26" s="2">
        <v>28.466980300000003</v>
      </c>
      <c r="O26" s="41">
        <v>5.5E-2</v>
      </c>
      <c r="P26" s="2">
        <v>263.91705943110958</v>
      </c>
      <c r="Q26" s="55">
        <v>1.6098528249373308E-2</v>
      </c>
      <c r="R26" s="2">
        <v>57.956899772999996</v>
      </c>
    </row>
    <row r="27" spans="1:18" x14ac:dyDescent="0.35">
      <c r="A27" s="54" t="s">
        <v>40</v>
      </c>
      <c r="B27" s="2">
        <v>481.84800000000001</v>
      </c>
      <c r="C27" s="63">
        <v>178.09565000000003</v>
      </c>
      <c r="D27" s="2">
        <v>303.75235000000004</v>
      </c>
      <c r="E27" s="2">
        <v>450.62163681180243</v>
      </c>
      <c r="F27" s="2">
        <v>95.073019249273301</v>
      </c>
      <c r="G27" s="41">
        <v>0.53375605138102844</v>
      </c>
      <c r="H27" s="41">
        <v>0.36960960717902747</v>
      </c>
      <c r="I27" s="2">
        <v>-146.8692868118024</v>
      </c>
      <c r="J27" s="41">
        <v>-0.48351654501373365</v>
      </c>
      <c r="K27" s="2">
        <v>109.4070531386065</v>
      </c>
      <c r="L27" s="2">
        <v>41.470474227350088</v>
      </c>
      <c r="M27" s="2">
        <v>210</v>
      </c>
      <c r="N27" s="2">
        <v>14.455439999999999</v>
      </c>
      <c r="O27" s="41">
        <v>0.03</v>
      </c>
      <c r="P27" s="2">
        <v>257.1892858458458</v>
      </c>
      <c r="Q27" s="55">
        <v>1.5714663239208813E-2</v>
      </c>
      <c r="R27" s="2">
        <v>42.554823600000006</v>
      </c>
    </row>
    <row r="28" spans="1:18" x14ac:dyDescent="0.35">
      <c r="A28" s="54" t="s">
        <v>34</v>
      </c>
      <c r="B28" s="2">
        <v>396.46779999999978</v>
      </c>
      <c r="C28" s="63">
        <v>85</v>
      </c>
      <c r="D28" s="2">
        <v>311.46779999999978</v>
      </c>
      <c r="E28" s="2">
        <v>273.61310884526375</v>
      </c>
      <c r="F28" s="2">
        <v>7.2363476901264061</v>
      </c>
      <c r="G28" s="41">
        <v>0.49401641192550844</v>
      </c>
      <c r="H28" s="41">
        <v>0.21439319914505048</v>
      </c>
      <c r="I28" s="2">
        <v>37.854691154736031</v>
      </c>
      <c r="J28" s="41">
        <v>0.12153645145577185</v>
      </c>
      <c r="K28" s="2">
        <v>15.629579019800929</v>
      </c>
      <c r="L28" s="2">
        <v>39.180059665462913</v>
      </c>
      <c r="M28" s="2">
        <v>30</v>
      </c>
      <c r="N28" s="2">
        <v>0</v>
      </c>
      <c r="O28" s="41">
        <v>0</v>
      </c>
      <c r="P28" s="2">
        <v>195.86159999999998</v>
      </c>
      <c r="Q28" s="55">
        <v>1.0082739619800303E-2</v>
      </c>
      <c r="R28" s="2">
        <v>22.941870159999986</v>
      </c>
    </row>
    <row r="29" spans="1:18" x14ac:dyDescent="0.35">
      <c r="A29" s="54" t="s">
        <v>44</v>
      </c>
      <c r="B29" s="2">
        <v>344.04415999999998</v>
      </c>
      <c r="C29" s="63">
        <v>21.817730000000001</v>
      </c>
      <c r="D29" s="2">
        <v>322.22642999999999</v>
      </c>
      <c r="E29" s="2">
        <v>215.36229962559705</v>
      </c>
      <c r="F29" s="2">
        <v>11.240568413330609</v>
      </c>
      <c r="G29" s="41">
        <v>0.48770983352834713</v>
      </c>
      <c r="H29" s="41">
        <v>6.3415492941371249E-2</v>
      </c>
      <c r="I29" s="2">
        <v>106.86413037440295</v>
      </c>
      <c r="J29" s="41">
        <v>0.33164297036218582</v>
      </c>
      <c r="K29" s="2">
        <v>11.515320044612041</v>
      </c>
      <c r="L29" s="2">
        <v>5.8514005449850206</v>
      </c>
      <c r="M29" s="2">
        <v>24</v>
      </c>
      <c r="N29" s="2">
        <v>10.321324799999999</v>
      </c>
      <c r="O29" s="41">
        <v>3.0000000000000006E-2</v>
      </c>
      <c r="P29" s="2">
        <v>167.79372000000001</v>
      </c>
      <c r="Q29" s="55">
        <v>5.7658062500577697E-3</v>
      </c>
      <c r="R29" s="2">
        <v>30.201859035999998</v>
      </c>
    </row>
    <row r="30" spans="1:18" x14ac:dyDescent="0.35">
      <c r="A30" s="54" t="s">
        <v>30</v>
      </c>
      <c r="B30" s="2">
        <v>257.16135999999995</v>
      </c>
      <c r="C30" s="63">
        <v>94.394539999999992</v>
      </c>
      <c r="D30" s="2">
        <v>162.76681999999994</v>
      </c>
      <c r="E30" s="2">
        <v>165.31653594528089</v>
      </c>
      <c r="F30" s="2">
        <v>30.073499449360856</v>
      </c>
      <c r="G30" s="41">
        <v>0.49325901838441061</v>
      </c>
      <c r="H30" s="41">
        <v>0.36706346552219205</v>
      </c>
      <c r="I30" s="2">
        <v>-2.5497159452809512</v>
      </c>
      <c r="J30" s="41">
        <v>-1.5664838480477485E-2</v>
      </c>
      <c r="K30" s="2">
        <v>13.943078221417247</v>
      </c>
      <c r="L30" s="2">
        <v>7.2995577078636646</v>
      </c>
      <c r="M30" s="2">
        <v>27</v>
      </c>
      <c r="N30" s="2">
        <v>2.5145143999999995</v>
      </c>
      <c r="O30" s="41">
        <v>8.8888888888888889E-3</v>
      </c>
      <c r="P30" s="2">
        <v>126.84716</v>
      </c>
      <c r="Q30" s="55">
        <v>5.5578700324159193E-3</v>
      </c>
      <c r="R30" s="2">
        <v>17.226740015999997</v>
      </c>
    </row>
    <row r="31" spans="1:18" x14ac:dyDescent="0.35">
      <c r="A31" s="54" t="s">
        <v>49</v>
      </c>
      <c r="B31" s="2">
        <v>246.59631999999993</v>
      </c>
      <c r="C31" s="63">
        <v>27.877980000000001</v>
      </c>
      <c r="D31" s="2">
        <v>218.71833999999996</v>
      </c>
      <c r="E31" s="2">
        <v>245.61504503883864</v>
      </c>
      <c r="F31" s="2">
        <v>13.520146899805201</v>
      </c>
      <c r="G31" s="41">
        <v>0.50071901021069498</v>
      </c>
      <c r="H31" s="41">
        <v>0.11305107878333305</v>
      </c>
      <c r="I31" s="2">
        <v>-26.896705038838689</v>
      </c>
      <c r="J31" s="41">
        <v>-0.12297416411828425</v>
      </c>
      <c r="K31" s="2">
        <v>61.143718917446492</v>
      </c>
      <c r="L31" s="2">
        <v>29.472856159392389</v>
      </c>
      <c r="M31" s="2">
        <v>116</v>
      </c>
      <c r="N31" s="2">
        <v>17.261742399999999</v>
      </c>
      <c r="O31" s="41">
        <v>7.0000000000000007E-2</v>
      </c>
      <c r="P31" s="2">
        <v>123.47546527199977</v>
      </c>
      <c r="Q31" s="55">
        <v>8.1982401216930973E-3</v>
      </c>
      <c r="R31" s="2">
        <v>31.52300469</v>
      </c>
    </row>
    <row r="32" spans="1:18" x14ac:dyDescent="0.35">
      <c r="A32" s="54" t="s">
        <v>14</v>
      </c>
      <c r="B32" s="2">
        <v>198.97946000000002</v>
      </c>
      <c r="C32" s="63">
        <v>35.893940000000001</v>
      </c>
      <c r="D32" s="2">
        <v>163.08552000000003</v>
      </c>
      <c r="E32" s="2">
        <v>170.78259769803631</v>
      </c>
      <c r="F32" s="2">
        <v>13.994119336016279</v>
      </c>
      <c r="G32" s="41">
        <v>0.50238046955900295</v>
      </c>
      <c r="H32" s="41">
        <v>0.18039017695595314</v>
      </c>
      <c r="I32" s="2">
        <v>-7.6970776980362814</v>
      </c>
      <c r="J32" s="41">
        <v>-4.7196573295018959E-2</v>
      </c>
      <c r="K32" s="2">
        <v>34.38507384356204</v>
      </c>
      <c r="L32" s="2">
        <v>18.40636782707745</v>
      </c>
      <c r="M32" s="2">
        <v>66</v>
      </c>
      <c r="N32" s="2">
        <v>5.969383800000001</v>
      </c>
      <c r="O32" s="41">
        <v>0.03</v>
      </c>
      <c r="P32" s="2">
        <v>99.963394547396845</v>
      </c>
      <c r="Q32" s="55">
        <v>6.6566387316578405E-3</v>
      </c>
      <c r="R32" s="2">
        <v>18.027761480000002</v>
      </c>
    </row>
    <row r="33" spans="1:18" x14ac:dyDescent="0.35">
      <c r="A33" s="54" t="s">
        <v>12</v>
      </c>
      <c r="B33" s="2">
        <v>197.82396</v>
      </c>
      <c r="C33" s="63">
        <v>15.721</v>
      </c>
      <c r="D33" s="2">
        <v>182.10296</v>
      </c>
      <c r="E33" s="2">
        <v>190.93161948065921</v>
      </c>
      <c r="F33" s="2">
        <v>0</v>
      </c>
      <c r="G33" s="41">
        <v>0.5187440388919522</v>
      </c>
      <c r="H33" s="41">
        <v>7.946964563847575E-2</v>
      </c>
      <c r="I33" s="2">
        <v>-8.828659480659212</v>
      </c>
      <c r="J33" s="41">
        <v>-4.848169124026986E-2</v>
      </c>
      <c r="K33" s="2">
        <v>50.014652863362969</v>
      </c>
      <c r="L33" s="2">
        <v>20.924813457296235</v>
      </c>
      <c r="M33" s="2">
        <v>96</v>
      </c>
      <c r="N33" s="2">
        <v>5.9347188000000006</v>
      </c>
      <c r="O33" s="41">
        <v>0.03</v>
      </c>
      <c r="P33" s="2">
        <v>102.62</v>
      </c>
      <c r="Q33" s="55">
        <v>7.4482411168853733E-3</v>
      </c>
      <c r="R33" s="2">
        <v>17.372153160000003</v>
      </c>
    </row>
    <row r="34" spans="1:18" x14ac:dyDescent="0.35">
      <c r="A34" s="54" t="s">
        <v>27</v>
      </c>
      <c r="B34" s="2">
        <v>189.75813999999997</v>
      </c>
      <c r="C34" s="63">
        <v>17.226710000000001</v>
      </c>
      <c r="D34" s="2">
        <v>172.53143</v>
      </c>
      <c r="E34" s="2">
        <v>167.97798664484975</v>
      </c>
      <c r="F34" s="2">
        <v>9.4653363373135644</v>
      </c>
      <c r="G34" s="41">
        <v>0.5257444028488053</v>
      </c>
      <c r="H34" s="41">
        <v>9.0782456025338382E-2</v>
      </c>
      <c r="I34" s="2">
        <v>4.5534433551502502</v>
      </c>
      <c r="J34" s="41">
        <v>2.6391964380926131E-2</v>
      </c>
      <c r="K34" s="2">
        <v>31.259158039601857</v>
      </c>
      <c r="L34" s="2">
        <v>16.596254903247903</v>
      </c>
      <c r="M34" s="2">
        <v>60</v>
      </c>
      <c r="N34" s="2">
        <v>9.4879069999999999</v>
      </c>
      <c r="O34" s="41">
        <v>4.9999999999999996E-2</v>
      </c>
      <c r="P34" s="2">
        <v>99.764279999999985</v>
      </c>
      <c r="Q34" s="55">
        <v>5.6014584870096766E-3</v>
      </c>
      <c r="R34" s="2">
        <v>20.358293701999997</v>
      </c>
    </row>
    <row r="35" spans="1:18" x14ac:dyDescent="0.35">
      <c r="A35" s="54" t="s">
        <v>53</v>
      </c>
      <c r="B35" s="2">
        <v>161.86354</v>
      </c>
      <c r="C35" s="63">
        <v>9.6706000000000003</v>
      </c>
      <c r="D35" s="2">
        <v>152.19293999999999</v>
      </c>
      <c r="E35" s="2">
        <v>133.12551144287229</v>
      </c>
      <c r="F35" s="2">
        <v>5.7548142970200544</v>
      </c>
      <c r="G35" s="41">
        <v>0.58213356757179535</v>
      </c>
      <c r="H35" s="41">
        <v>5.9745387997815938E-2</v>
      </c>
      <c r="I35" s="2">
        <v>19.067428557127698</v>
      </c>
      <c r="J35" s="41">
        <v>0.12528457993601871</v>
      </c>
      <c r="K35" s="2">
        <v>6.2518316079203711</v>
      </c>
      <c r="L35" s="2">
        <v>6.7336407349519307</v>
      </c>
      <c r="M35" s="2">
        <v>12</v>
      </c>
      <c r="N35" s="2">
        <v>16.186354000000001</v>
      </c>
      <c r="O35" s="41">
        <v>9.9999999999999992E-2</v>
      </c>
      <c r="P35" s="2">
        <v>94.226199999999992</v>
      </c>
      <c r="Q35" s="55">
        <v>5.306818512689813E-3</v>
      </c>
      <c r="R35" s="2">
        <v>25.913839100000004</v>
      </c>
    </row>
    <row r="36" spans="1:18" x14ac:dyDescent="0.35">
      <c r="A36" s="54" t="s">
        <v>37</v>
      </c>
      <c r="B36" s="2">
        <v>152.48999999999995</v>
      </c>
      <c r="C36" s="63">
        <v>71.23236</v>
      </c>
      <c r="D36" s="2">
        <v>81.257639999999981</v>
      </c>
      <c r="E36" s="2">
        <v>113.27232534181285</v>
      </c>
      <c r="F36" s="2">
        <v>35.189704199235535</v>
      </c>
      <c r="G36" s="41">
        <v>0.4920584956390584</v>
      </c>
      <c r="H36" s="41">
        <v>0.46712807397206391</v>
      </c>
      <c r="I36" s="2">
        <v>-32.014685341812864</v>
      </c>
      <c r="J36" s="41">
        <v>-0.39398984934601683</v>
      </c>
      <c r="K36" s="2">
        <v>19.779474515030781</v>
      </c>
      <c r="L36" s="2">
        <v>7.8963768267820775</v>
      </c>
      <c r="M36" s="2">
        <v>38</v>
      </c>
      <c r="N36" s="2">
        <v>1.6624399999999999</v>
      </c>
      <c r="O36" s="41">
        <v>6.6666666666666671E-3</v>
      </c>
      <c r="P36" s="2">
        <v>75.033999999999992</v>
      </c>
      <c r="Q36" s="55">
        <v>4.8383191346779196E-3</v>
      </c>
      <c r="R36" s="2">
        <v>10.562473999999998</v>
      </c>
    </row>
    <row r="37" spans="1:18" x14ac:dyDescent="0.35">
      <c r="A37" s="54" t="s">
        <v>138</v>
      </c>
      <c r="B37" s="2">
        <v>150.28</v>
      </c>
      <c r="C37" s="63">
        <v>0</v>
      </c>
      <c r="D37" s="2">
        <v>150.28</v>
      </c>
      <c r="E37" s="2">
        <v>104.038844</v>
      </c>
      <c r="F37" s="2">
        <v>0</v>
      </c>
      <c r="G37" s="41">
        <v>0.63</v>
      </c>
      <c r="H37" s="41">
        <v>0</v>
      </c>
      <c r="I37" s="2">
        <v>46.241156000000004</v>
      </c>
      <c r="J37" s="41">
        <v>0.30770000000000003</v>
      </c>
      <c r="K37" s="2">
        <v>0</v>
      </c>
      <c r="L37" s="2">
        <v>0</v>
      </c>
      <c r="M37" s="2">
        <v>0</v>
      </c>
      <c r="N37" s="2">
        <v>0</v>
      </c>
      <c r="O37" s="41">
        <v>0</v>
      </c>
      <c r="P37" s="2">
        <v>94.676400000000001</v>
      </c>
      <c r="Q37" s="55">
        <v>8.4328198169164748E-3</v>
      </c>
      <c r="R37" s="2">
        <v>9.362444</v>
      </c>
    </row>
    <row r="38" spans="1:18" x14ac:dyDescent="0.35">
      <c r="A38" s="54" t="s">
        <v>9</v>
      </c>
      <c r="B38" s="2">
        <v>143.39651999999998</v>
      </c>
      <c r="C38" s="63">
        <v>1.26936</v>
      </c>
      <c r="D38" s="2">
        <v>142.12715999999998</v>
      </c>
      <c r="E38" s="2">
        <v>127.20335438613016</v>
      </c>
      <c r="F38" s="2">
        <v>0.39736277860470509</v>
      </c>
      <c r="G38" s="41">
        <v>0.50054826993012091</v>
      </c>
      <c r="H38" s="41">
        <v>8.8520976659684641E-3</v>
      </c>
      <c r="I38" s="2">
        <v>14.923805613869817</v>
      </c>
      <c r="J38" s="41">
        <v>0.10500319301300201</v>
      </c>
      <c r="K38" s="2">
        <v>28.133242235641667</v>
      </c>
      <c r="L38" s="2">
        <v>8.9049282584884999</v>
      </c>
      <c r="M38" s="2">
        <v>54</v>
      </c>
      <c r="N38" s="2">
        <v>10.037756399999999</v>
      </c>
      <c r="O38" s="41">
        <v>5.6666666666666671E-2</v>
      </c>
      <c r="P38" s="2">
        <v>71.776879999999977</v>
      </c>
      <c r="Q38" s="55">
        <v>4.1412949346819423E-3</v>
      </c>
      <c r="R38" s="2">
        <v>18.388303892</v>
      </c>
    </row>
    <row r="39" spans="1:18" x14ac:dyDescent="0.35">
      <c r="A39" s="54" t="s">
        <v>7</v>
      </c>
      <c r="B39" s="2">
        <v>112.33975999999996</v>
      </c>
      <c r="C39" s="63">
        <v>24.81428</v>
      </c>
      <c r="D39" s="2">
        <v>87.525479999999959</v>
      </c>
      <c r="E39" s="2">
        <v>71.0353724480035</v>
      </c>
      <c r="F39" s="2">
        <v>6.9401454565815088</v>
      </c>
      <c r="G39" s="41">
        <v>0.47277081596044002</v>
      </c>
      <c r="H39" s="41">
        <v>0.22088599797613961</v>
      </c>
      <c r="I39" s="2">
        <v>16.490107551996459</v>
      </c>
      <c r="J39" s="41">
        <v>0.18840350892101895</v>
      </c>
      <c r="K39" s="2">
        <v>7.1970750278825264</v>
      </c>
      <c r="L39" s="2">
        <v>4.5486506201209984</v>
      </c>
      <c r="M39" s="2">
        <v>15</v>
      </c>
      <c r="N39" s="2">
        <v>0</v>
      </c>
      <c r="O39" s="41">
        <v>0</v>
      </c>
      <c r="P39" s="2">
        <v>53.110959999999977</v>
      </c>
      <c r="Q39" s="55">
        <v>3.775861766228105E-3</v>
      </c>
      <c r="R39" s="2">
        <v>6.1786867999999986</v>
      </c>
    </row>
    <row r="40" spans="1:18" x14ac:dyDescent="0.35">
      <c r="A40" s="54" t="s">
        <v>136</v>
      </c>
      <c r="B40" s="2">
        <v>86.577619999999968</v>
      </c>
      <c r="C40" s="63">
        <v>46.098159999999993</v>
      </c>
      <c r="D40" s="2">
        <v>40.47945999999996</v>
      </c>
      <c r="E40" s="2">
        <v>63.092177885950264</v>
      </c>
      <c r="F40" s="2">
        <v>18.214393958008685</v>
      </c>
      <c r="G40" s="41">
        <v>0.51718908419982002</v>
      </c>
      <c r="H40" s="41">
        <v>0.53244891693719476</v>
      </c>
      <c r="I40" s="2">
        <v>-22.612717885950303</v>
      </c>
      <c r="J40" s="41">
        <v>-0.55862202425502527</v>
      </c>
      <c r="K40" s="2">
        <v>8.4325039919184022</v>
      </c>
      <c r="L40" s="2">
        <v>4.8358272720318496</v>
      </c>
      <c r="M40" s="2">
        <v>15</v>
      </c>
      <c r="N40" s="2">
        <v>0</v>
      </c>
      <c r="O40" s="41">
        <v>0</v>
      </c>
      <c r="P40" s="2">
        <v>44.777000000000001</v>
      </c>
      <c r="Q40" s="55">
        <v>2.55799254613172E-3</v>
      </c>
      <c r="R40" s="2">
        <v>5.0468466219999977</v>
      </c>
    </row>
    <row r="41" spans="1:18" x14ac:dyDescent="0.35">
      <c r="A41" s="54" t="s">
        <v>144</v>
      </c>
      <c r="B41" s="2">
        <v>83.971999999999994</v>
      </c>
      <c r="C41" s="63">
        <v>0</v>
      </c>
      <c r="D41" s="2">
        <v>83.971999999999994</v>
      </c>
      <c r="E41" s="2">
        <v>46.922515999999995</v>
      </c>
      <c r="F41" s="2">
        <v>0</v>
      </c>
      <c r="G41" s="41">
        <v>0.50578764350021432</v>
      </c>
      <c r="H41" s="41">
        <v>0</v>
      </c>
      <c r="I41" s="2">
        <v>37.049484</v>
      </c>
      <c r="J41" s="41">
        <v>0.44121235649978569</v>
      </c>
      <c r="K41" s="2">
        <v>0</v>
      </c>
      <c r="L41" s="2">
        <v>0</v>
      </c>
      <c r="M41" s="2">
        <v>0</v>
      </c>
      <c r="N41" s="2">
        <v>0</v>
      </c>
      <c r="O41" s="41">
        <v>0</v>
      </c>
      <c r="P41" s="2">
        <v>42.471999999999994</v>
      </c>
      <c r="Q41" s="55">
        <v>1.5876662480661923E-2</v>
      </c>
      <c r="R41" s="2">
        <v>4.4505159999999995</v>
      </c>
    </row>
    <row r="42" spans="1:18" x14ac:dyDescent="0.35">
      <c r="A42" s="54" t="s">
        <v>126</v>
      </c>
      <c r="B42" s="2">
        <v>79.398839999999979</v>
      </c>
      <c r="C42" s="63">
        <v>7</v>
      </c>
      <c r="D42" s="2">
        <v>72.398839999999979</v>
      </c>
      <c r="E42" s="2">
        <v>67.300412920672215</v>
      </c>
      <c r="F42" s="2">
        <v>0</v>
      </c>
      <c r="G42" s="41">
        <v>0.6558060545972717</v>
      </c>
      <c r="H42" s="41">
        <v>8.8162497084340305E-2</v>
      </c>
      <c r="I42" s="2">
        <v>5.0984270793277631</v>
      </c>
      <c r="J42" s="41">
        <v>7.0421391825169641E-2</v>
      </c>
      <c r="K42" s="2">
        <v>7.0490566037735842</v>
      </c>
      <c r="L42" s="2">
        <v>3.2345685848986006</v>
      </c>
      <c r="M42" s="2">
        <v>12</v>
      </c>
      <c r="N42" s="2">
        <v>0</v>
      </c>
      <c r="O42" s="41">
        <v>0</v>
      </c>
      <c r="P42" s="2">
        <v>52.070240000000027</v>
      </c>
      <c r="Q42" s="55">
        <v>2.9563998860329429E-3</v>
      </c>
      <c r="R42" s="2">
        <v>4.9465477319999982</v>
      </c>
    </row>
    <row r="43" spans="1:18" x14ac:dyDescent="0.35">
      <c r="A43" s="54" t="s">
        <v>50</v>
      </c>
      <c r="B43" s="2">
        <v>76.174599999999998</v>
      </c>
      <c r="C43" s="63">
        <v>7.2820900000000002</v>
      </c>
      <c r="D43" s="2">
        <v>68.892510000000001</v>
      </c>
      <c r="E43" s="2">
        <v>67.528663519224651</v>
      </c>
      <c r="F43" s="2">
        <v>3.6278249485013525</v>
      </c>
      <c r="G43" s="41">
        <v>0.50721369065279009</v>
      </c>
      <c r="H43" s="41">
        <v>9.5597351348087167E-2</v>
      </c>
      <c r="I43" s="2">
        <v>1.3638464807753508</v>
      </c>
      <c r="J43" s="41">
        <v>1.9796730889545915E-2</v>
      </c>
      <c r="K43" s="2">
        <v>9.3777474118805575</v>
      </c>
      <c r="L43" s="2">
        <v>8.0614749273440776</v>
      </c>
      <c r="M43" s="2">
        <v>18</v>
      </c>
      <c r="N43" s="2">
        <v>6.8557139999999999</v>
      </c>
      <c r="O43" s="41">
        <v>8.9999999999999983E-2</v>
      </c>
      <c r="P43" s="2">
        <v>38.636800000000022</v>
      </c>
      <c r="Q43" s="55">
        <v>2.4564087479397754E-3</v>
      </c>
      <c r="R43" s="2">
        <v>11.452641179999999</v>
      </c>
    </row>
    <row r="44" spans="1:18" x14ac:dyDescent="0.35">
      <c r="A44" s="54" t="s">
        <v>18</v>
      </c>
      <c r="B44" s="2">
        <v>68.377200000000002</v>
      </c>
      <c r="C44" s="63">
        <v>41.91478</v>
      </c>
      <c r="D44" s="2">
        <v>26.462420000000002</v>
      </c>
      <c r="E44" s="2">
        <v>74.300005926925422</v>
      </c>
      <c r="F44" s="2">
        <v>19.786425687629123</v>
      </c>
      <c r="G44" s="41">
        <v>0.49823917914158516</v>
      </c>
      <c r="H44" s="41">
        <v>0.61299351245736877</v>
      </c>
      <c r="I44" s="2">
        <v>-47.837585926925421</v>
      </c>
      <c r="J44" s="41">
        <v>-1.8077555237550238</v>
      </c>
      <c r="K44" s="2">
        <v>21.881410627721301</v>
      </c>
      <c r="L44" s="2">
        <v>8.2158745992041258</v>
      </c>
      <c r="M44" s="2">
        <v>42</v>
      </c>
      <c r="N44" s="2">
        <v>6.1539479999999998</v>
      </c>
      <c r="O44" s="41">
        <v>8.9999999999999983E-2</v>
      </c>
      <c r="P44" s="2">
        <v>34.068199999999997</v>
      </c>
      <c r="Q44" s="55">
        <v>2.2695246349491525E-3</v>
      </c>
      <c r="R44" s="2">
        <v>10.134520699999999</v>
      </c>
    </row>
    <row r="45" spans="1:18" x14ac:dyDescent="0.35">
      <c r="A45" s="54" t="s">
        <v>129</v>
      </c>
      <c r="B45" s="2">
        <v>65.485199999999978</v>
      </c>
      <c r="C45" s="63">
        <v>0</v>
      </c>
      <c r="D45" s="2">
        <v>65.485199999999978</v>
      </c>
      <c r="E45" s="2">
        <v>46.315309665785648</v>
      </c>
      <c r="F45" s="2">
        <v>0</v>
      </c>
      <c r="G45" s="41">
        <v>0.55609389602536163</v>
      </c>
      <c r="H45" s="41">
        <v>0</v>
      </c>
      <c r="I45" s="2">
        <v>19.16989033421433</v>
      </c>
      <c r="J45" s="41">
        <v>0.29273622641779112</v>
      </c>
      <c r="K45" s="2">
        <v>2.3496855345911949</v>
      </c>
      <c r="L45" s="2">
        <v>1.2938301711944593</v>
      </c>
      <c r="M45" s="2">
        <v>4</v>
      </c>
      <c r="N45" s="2">
        <v>2.4623999999999997</v>
      </c>
      <c r="O45" s="41">
        <v>5.3333333333333337E-2</v>
      </c>
      <c r="P45" s="2">
        <v>36.41592</v>
      </c>
      <c r="Q45" s="55">
        <v>3.8873169562836634E-3</v>
      </c>
      <c r="R45" s="2">
        <v>6.2558739599999988</v>
      </c>
    </row>
    <row r="46" spans="1:18" x14ac:dyDescent="0.35">
      <c r="A46" s="54" t="s">
        <v>137</v>
      </c>
      <c r="B46" s="2">
        <v>49.673359999999995</v>
      </c>
      <c r="C46" s="63">
        <v>1.7561500000000001</v>
      </c>
      <c r="D46" s="2">
        <v>47.917209999999997</v>
      </c>
      <c r="E46" s="2">
        <v>47.90519848796805</v>
      </c>
      <c r="F46" s="2">
        <v>0.88352426982018084</v>
      </c>
      <c r="G46" s="41">
        <v>0.49990820029085997</v>
      </c>
      <c r="H46" s="41">
        <v>3.5353960352188782E-2</v>
      </c>
      <c r="I46" s="2">
        <v>1.2011512031946836E-2</v>
      </c>
      <c r="J46" s="41">
        <v>2.5067219130552124E-4</v>
      </c>
      <c r="K46" s="2">
        <v>13.492006387069443</v>
      </c>
      <c r="L46" s="2">
        <v>5.1177087328986062</v>
      </c>
      <c r="M46" s="2">
        <v>24</v>
      </c>
      <c r="N46" s="2">
        <v>1.4902007999999998</v>
      </c>
      <c r="O46" s="41">
        <v>3.0000000000000009E-2</v>
      </c>
      <c r="P46" s="2">
        <v>24.832119999999989</v>
      </c>
      <c r="Q46" s="55">
        <v>7.1940870347275655E-4</v>
      </c>
      <c r="R46" s="2">
        <v>4.4633633679999996</v>
      </c>
    </row>
    <row r="47" spans="1:18" x14ac:dyDescent="0.35">
      <c r="A47" s="54" t="s">
        <v>21</v>
      </c>
      <c r="B47" s="2">
        <v>42.984400000000001</v>
      </c>
      <c r="C47" s="63">
        <v>0</v>
      </c>
      <c r="D47" s="2">
        <v>42.984400000000001</v>
      </c>
      <c r="E47" s="2">
        <v>34.128233477464605</v>
      </c>
      <c r="F47" s="2">
        <v>0</v>
      </c>
      <c r="G47" s="41">
        <v>0.49217390495156399</v>
      </c>
      <c r="H47" s="41">
        <v>0</v>
      </c>
      <c r="I47" s="2">
        <v>8.8561665225353963</v>
      </c>
      <c r="J47" s="41">
        <v>0.20603210752122622</v>
      </c>
      <c r="K47" s="2">
        <v>6.2518316079203711</v>
      </c>
      <c r="L47" s="2">
        <v>4.2028408495442289</v>
      </c>
      <c r="M47" s="2">
        <v>12</v>
      </c>
      <c r="N47" s="2">
        <v>0</v>
      </c>
      <c r="O47" s="41">
        <v>0</v>
      </c>
      <c r="P47" s="2">
        <v>21.155800000000006</v>
      </c>
      <c r="Q47" s="55">
        <v>1.4765678104544276E-3</v>
      </c>
      <c r="R47" s="2">
        <v>2.5177610199999996</v>
      </c>
    </row>
    <row r="48" spans="1:18" x14ac:dyDescent="0.35">
      <c r="A48" s="54" t="s">
        <v>120</v>
      </c>
      <c r="B48" s="2">
        <v>33.938600000000001</v>
      </c>
      <c r="C48" s="63">
        <v>0</v>
      </c>
      <c r="D48" s="2">
        <v>33.938600000000001</v>
      </c>
      <c r="E48" s="2">
        <v>31.678399594304228</v>
      </c>
      <c r="F48" s="2">
        <v>0</v>
      </c>
      <c r="G48" s="41">
        <v>0.48437943816185691</v>
      </c>
      <c r="H48" s="41">
        <v>0</v>
      </c>
      <c r="I48" s="2">
        <v>2.2602004056957732</v>
      </c>
      <c r="J48" s="41">
        <v>6.6596748413186552E-2</v>
      </c>
      <c r="K48" s="2">
        <v>5.4846014388696558</v>
      </c>
      <c r="L48" s="2">
        <v>5.1570061954345698</v>
      </c>
      <c r="M48" s="2">
        <v>10</v>
      </c>
      <c r="N48" s="2">
        <v>2.7150880000000002</v>
      </c>
      <c r="O48" s="41">
        <v>0.08</v>
      </c>
      <c r="P48" s="2">
        <v>16.439159999999998</v>
      </c>
      <c r="Q48" s="55">
        <v>1.213985120459367E-3</v>
      </c>
      <c r="R48" s="2">
        <v>4.5976319600000011</v>
      </c>
    </row>
    <row r="49" spans="1:18" x14ac:dyDescent="0.35">
      <c r="A49" s="54" t="s">
        <v>10</v>
      </c>
      <c r="B49" s="2">
        <v>29.154</v>
      </c>
      <c r="C49" s="65">
        <v>1.0632000000000001</v>
      </c>
      <c r="D49" s="64">
        <v>28.090799999999998</v>
      </c>
      <c r="E49" s="2">
        <v>72.767436563234213</v>
      </c>
      <c r="F49" s="2">
        <v>0</v>
      </c>
      <c r="G49" s="41">
        <v>0.58040973775807192</v>
      </c>
      <c r="H49" s="41">
        <v>3.6468409137682657E-2</v>
      </c>
      <c r="I49" s="2">
        <v>-44.676636563234212</v>
      </c>
      <c r="J49" s="41">
        <v>-1.5904366042702314</v>
      </c>
      <c r="K49" s="2">
        <v>37.51098964752223</v>
      </c>
      <c r="L49" s="2">
        <v>16.589669521113166</v>
      </c>
      <c r="M49" s="2">
        <v>72</v>
      </c>
      <c r="N49" s="2">
        <v>0</v>
      </c>
      <c r="O49" s="41">
        <v>0</v>
      </c>
      <c r="P49" s="2">
        <v>16.921265494598828</v>
      </c>
      <c r="Q49" s="55">
        <v>8.4426896675090536E-4</v>
      </c>
      <c r="R49" s="2">
        <v>1.7455119000000001</v>
      </c>
    </row>
    <row r="50" spans="1:18" x14ac:dyDescent="0.35">
      <c r="A50" s="54" t="s">
        <v>19</v>
      </c>
      <c r="B50" s="2">
        <v>27.792000000000002</v>
      </c>
      <c r="C50" s="63">
        <v>0</v>
      </c>
      <c r="D50" s="2">
        <v>27.792000000000002</v>
      </c>
      <c r="E50" s="2">
        <v>18.441171235929914</v>
      </c>
      <c r="F50" s="2">
        <v>0</v>
      </c>
      <c r="G50" s="41">
        <v>0.45116004605641902</v>
      </c>
      <c r="H50" s="41">
        <v>0</v>
      </c>
      <c r="I50" s="2">
        <v>9.3508287640700871</v>
      </c>
      <c r="J50" s="41">
        <v>0.33645756923107678</v>
      </c>
      <c r="K50" s="2">
        <v>3.1259158039601855</v>
      </c>
      <c r="L50" s="2">
        <v>1.1580759399697322</v>
      </c>
      <c r="M50" s="2">
        <v>6</v>
      </c>
      <c r="N50" s="2">
        <v>0</v>
      </c>
      <c r="O50" s="41">
        <v>0</v>
      </c>
      <c r="P50" s="2">
        <v>12.538639999999997</v>
      </c>
      <c r="Q50" s="55">
        <v>8.7520650620078291E-4</v>
      </c>
      <c r="R50" s="2">
        <v>1.618539492</v>
      </c>
    </row>
    <row r="51" spans="1:18" x14ac:dyDescent="0.35">
      <c r="A51" s="54" t="s">
        <v>114</v>
      </c>
      <c r="B51" s="2">
        <v>19.748159999999999</v>
      </c>
      <c r="C51" s="63">
        <v>0</v>
      </c>
      <c r="D51" s="2">
        <v>19.748159999999999</v>
      </c>
      <c r="E51" s="2">
        <v>12.362355621576079</v>
      </c>
      <c r="F51" s="2">
        <v>0</v>
      </c>
      <c r="G51" s="41">
        <v>0.50542430282112394</v>
      </c>
      <c r="H51" s="41">
        <v>0</v>
      </c>
      <c r="I51" s="2">
        <v>7.38580437842392</v>
      </c>
      <c r="J51" s="41">
        <v>0.37399962216347854</v>
      </c>
      <c r="K51" s="2">
        <v>1.1508452535760727</v>
      </c>
      <c r="L51" s="2">
        <v>0</v>
      </c>
      <c r="M51" s="2">
        <v>3</v>
      </c>
      <c r="N51" s="2">
        <v>0</v>
      </c>
      <c r="O51" s="41">
        <v>0</v>
      </c>
      <c r="P51" s="2">
        <v>9.9812000000000065</v>
      </c>
      <c r="Q51" s="55">
        <v>5.0475768191439333E-4</v>
      </c>
      <c r="R51" s="2">
        <v>1.230310368</v>
      </c>
    </row>
    <row r="52" spans="1:18" x14ac:dyDescent="0.35">
      <c r="A52" s="54" t="s">
        <v>139</v>
      </c>
      <c r="B52" s="2">
        <v>14.511100000000001</v>
      </c>
      <c r="C52" s="63">
        <v>0</v>
      </c>
      <c r="D52" s="2">
        <v>14.511100000000001</v>
      </c>
      <c r="E52" s="2">
        <v>9.8075634741377051</v>
      </c>
      <c r="F52" s="2">
        <v>0</v>
      </c>
      <c r="G52" s="41">
        <v>0.5213236763580984</v>
      </c>
      <c r="H52" s="41">
        <v>0</v>
      </c>
      <c r="I52" s="2">
        <v>4.7035365258622956</v>
      </c>
      <c r="J52" s="41">
        <v>0.32413369943438441</v>
      </c>
      <c r="K52" s="2">
        <v>1.1748427672955974</v>
      </c>
      <c r="L52" s="2">
        <v>0.15789473684210525</v>
      </c>
      <c r="M52" s="2">
        <v>2</v>
      </c>
      <c r="N52" s="2">
        <v>0</v>
      </c>
      <c r="O52" s="41">
        <v>0</v>
      </c>
      <c r="P52" s="2">
        <v>7.564980000000002</v>
      </c>
      <c r="Q52" s="55">
        <v>1.643066167022192E-3</v>
      </c>
      <c r="R52" s="2">
        <v>0.90984596999999989</v>
      </c>
    </row>
    <row r="53" spans="1:18" x14ac:dyDescent="0.35">
      <c r="A53" s="54" t="s">
        <v>35</v>
      </c>
      <c r="B53" s="2">
        <v>14.107120000000002</v>
      </c>
      <c r="C53" s="63">
        <v>5</v>
      </c>
      <c r="D53" s="2">
        <v>9.1071200000000019</v>
      </c>
      <c r="E53" s="2">
        <v>10.649271749996009</v>
      </c>
      <c r="F53" s="2">
        <v>0</v>
      </c>
      <c r="G53" s="41">
        <v>0.51454301090513166</v>
      </c>
      <c r="H53" s="41">
        <v>0.35443095401471025</v>
      </c>
      <c r="I53" s="2">
        <v>-1.5421517499960071</v>
      </c>
      <c r="J53" s="41">
        <v>-0.16933473480046457</v>
      </c>
      <c r="K53" s="2">
        <v>1.6865007983836802</v>
      </c>
      <c r="L53" s="2">
        <v>0.95637359161232571</v>
      </c>
      <c r="M53" s="2">
        <v>3</v>
      </c>
      <c r="N53" s="2">
        <v>0</v>
      </c>
      <c r="O53" s="41">
        <v>0</v>
      </c>
      <c r="P53" s="2">
        <v>7.2587200000000021</v>
      </c>
      <c r="Q53" s="55">
        <v>8.8908200675699624E-4</v>
      </c>
      <c r="R53" s="2">
        <v>0.74767736000000007</v>
      </c>
    </row>
    <row r="54" spans="1:18" x14ac:dyDescent="0.35">
      <c r="A54" s="54" t="s">
        <v>116</v>
      </c>
      <c r="B54" s="2">
        <v>11.29984</v>
      </c>
      <c r="C54" s="63">
        <v>0.66600000000000004</v>
      </c>
      <c r="D54" s="2">
        <v>10.633839999999999</v>
      </c>
      <c r="E54" s="2">
        <v>10.054805642458911</v>
      </c>
      <c r="F54" s="2">
        <v>0</v>
      </c>
      <c r="G54" s="41">
        <v>0.50670097983688278</v>
      </c>
      <c r="H54" s="41">
        <v>5.8938887630267334E-2</v>
      </c>
      <c r="I54" s="2">
        <v>0.57903435754108834</v>
      </c>
      <c r="J54" s="41">
        <v>5.4452047194718779E-2</v>
      </c>
      <c r="K54" s="2">
        <v>3.1259158039601855</v>
      </c>
      <c r="L54" s="2">
        <v>0.49926980649872216</v>
      </c>
      <c r="M54" s="2">
        <v>6</v>
      </c>
      <c r="N54" s="2">
        <v>0</v>
      </c>
      <c r="O54" s="41">
        <v>0</v>
      </c>
      <c r="P54" s="2">
        <v>5.7256400000000012</v>
      </c>
      <c r="Q54" s="55">
        <v>3.1703990777211027E-4</v>
      </c>
      <c r="R54" s="2">
        <v>0.70398003200000003</v>
      </c>
    </row>
    <row r="55" spans="1:18" x14ac:dyDescent="0.35">
      <c r="A55" s="54" t="s">
        <v>13</v>
      </c>
      <c r="B55" s="2">
        <v>10.3308</v>
      </c>
      <c r="C55" s="63">
        <v>0</v>
      </c>
      <c r="D55" s="2">
        <v>10.3308</v>
      </c>
      <c r="E55" s="2">
        <v>26.784320452294537</v>
      </c>
      <c r="F55" s="2">
        <v>0</v>
      </c>
      <c r="G55" s="41">
        <v>0.5478143028613468</v>
      </c>
      <c r="H55" s="41">
        <v>0</v>
      </c>
      <c r="I55" s="2">
        <v>-16.453520452294537</v>
      </c>
      <c r="J55" s="41">
        <v>-1.5926666330094994</v>
      </c>
      <c r="K55" s="2">
        <v>15.629579019800929</v>
      </c>
      <c r="L55" s="2">
        <v>4.9478490324936102</v>
      </c>
      <c r="M55" s="2">
        <v>30</v>
      </c>
      <c r="N55" s="2">
        <v>0</v>
      </c>
      <c r="O55" s="41">
        <v>0</v>
      </c>
      <c r="P55" s="2">
        <v>5.6593600000000013</v>
      </c>
      <c r="Q55" s="55">
        <v>3.2554229337402587E-4</v>
      </c>
      <c r="R55" s="2">
        <v>0.54753240000000003</v>
      </c>
    </row>
    <row r="56" spans="1:18" x14ac:dyDescent="0.35">
      <c r="A56" s="54" t="s">
        <v>58</v>
      </c>
      <c r="B56" s="2">
        <v>9.3876100000000005</v>
      </c>
      <c r="C56" s="63">
        <v>0.94689000000000001</v>
      </c>
      <c r="D56" s="2">
        <v>8.4407200000000007</v>
      </c>
      <c r="E56" s="2">
        <v>9.705413713458908</v>
      </c>
      <c r="F56" s="2">
        <v>2.8309635274580022E-2</v>
      </c>
      <c r="G56" s="41">
        <v>0.51575214564729488</v>
      </c>
      <c r="H56" s="41">
        <v>0.10086592860163555</v>
      </c>
      <c r="I56" s="2">
        <v>-1.2646937134589074</v>
      </c>
      <c r="J56" s="41">
        <v>-0.14983244479841853</v>
      </c>
      <c r="K56" s="2">
        <v>3.1259158039601855</v>
      </c>
      <c r="L56" s="2">
        <v>1.1529698064987222</v>
      </c>
      <c r="M56" s="2">
        <v>6</v>
      </c>
      <c r="N56" s="2">
        <v>0</v>
      </c>
      <c r="O56" s="41">
        <v>0</v>
      </c>
      <c r="P56" s="2">
        <v>4.841680000000002</v>
      </c>
      <c r="Q56" s="55">
        <v>2.6338842042015993E-4</v>
      </c>
      <c r="R56" s="2">
        <v>0.58484810300000001</v>
      </c>
    </row>
    <row r="57" spans="1:18" x14ac:dyDescent="0.35">
      <c r="A57" s="54" t="s">
        <v>135</v>
      </c>
      <c r="B57" s="2">
        <v>5.0140799999999999</v>
      </c>
      <c r="C57" s="63">
        <v>1.615</v>
      </c>
      <c r="D57" s="2">
        <v>3.3990799999999997</v>
      </c>
      <c r="E57" s="2">
        <v>7.1416637660245446</v>
      </c>
      <c r="F57" s="2">
        <v>0</v>
      </c>
      <c r="G57" s="41">
        <v>0.54157093624353825</v>
      </c>
      <c r="H57" s="41">
        <v>0.32209298615099879</v>
      </c>
      <c r="I57" s="2">
        <v>-3.7425837660245449</v>
      </c>
      <c r="J57" s="41">
        <v>-1.1010578644881983</v>
      </c>
      <c r="K57" s="2">
        <v>3.3730015967673603</v>
      </c>
      <c r="L57" s="2">
        <v>0.7387993532571846</v>
      </c>
      <c r="M57" s="2">
        <v>6</v>
      </c>
      <c r="N57" s="2">
        <v>0</v>
      </c>
      <c r="O57" s="41">
        <v>0</v>
      </c>
      <c r="P57" s="2">
        <v>2.7154800000000003</v>
      </c>
      <c r="Q57" s="55">
        <v>1.8924513433952011E-4</v>
      </c>
      <c r="R57" s="2">
        <v>0.31438281599999995</v>
      </c>
    </row>
    <row r="58" spans="1:18" x14ac:dyDescent="0.35">
      <c r="A58" s="54" t="s">
        <v>59</v>
      </c>
      <c r="B58" s="2">
        <v>4.4264400000000004</v>
      </c>
      <c r="C58" s="63">
        <v>0</v>
      </c>
      <c r="D58" s="2">
        <v>4.4264400000000004</v>
      </c>
      <c r="E58" s="2">
        <v>2.4968577880000002</v>
      </c>
      <c r="F58" s="2">
        <v>0</v>
      </c>
      <c r="G58" s="41">
        <v>0.50137808261266392</v>
      </c>
      <c r="H58" s="41">
        <v>0</v>
      </c>
      <c r="I58" s="2">
        <v>1.9295822120000001</v>
      </c>
      <c r="J58" s="41">
        <v>0.4359219173873361</v>
      </c>
      <c r="K58" s="2">
        <v>0</v>
      </c>
      <c r="L58" s="2">
        <v>0</v>
      </c>
      <c r="M58" s="2">
        <v>0</v>
      </c>
      <c r="N58" s="2">
        <v>0</v>
      </c>
      <c r="O58" s="41">
        <v>0</v>
      </c>
      <c r="P58" s="2">
        <v>2.2193200000000002</v>
      </c>
      <c r="Q58" s="55">
        <v>1.6706598866508425E-4</v>
      </c>
      <c r="R58" s="2">
        <v>0.27753778800000001</v>
      </c>
    </row>
    <row r="59" spans="1:18" x14ac:dyDescent="0.35">
      <c r="A59" s="54" t="s">
        <v>142</v>
      </c>
      <c r="B59" s="2">
        <v>3.5334799999999995</v>
      </c>
      <c r="C59" s="63">
        <v>0</v>
      </c>
      <c r="D59" s="2">
        <v>3.5334799999999995</v>
      </c>
      <c r="E59" s="2">
        <v>2.2626691959999996</v>
      </c>
      <c r="F59" s="2">
        <v>0</v>
      </c>
      <c r="G59" s="41">
        <v>0.57765149371158186</v>
      </c>
      <c r="H59" s="41">
        <v>0</v>
      </c>
      <c r="I59" s="2">
        <v>1.2708108039999999</v>
      </c>
      <c r="J59" s="41">
        <v>0.35964850628841821</v>
      </c>
      <c r="K59" s="2">
        <v>0</v>
      </c>
      <c r="L59" s="2">
        <v>0</v>
      </c>
      <c r="M59" s="2">
        <v>0</v>
      </c>
      <c r="N59" s="2">
        <v>0</v>
      </c>
      <c r="O59" s="41">
        <v>0</v>
      </c>
      <c r="P59" s="2">
        <v>2.0411199999999998</v>
      </c>
      <c r="Q59" s="55">
        <v>4.0008968581634567E-4</v>
      </c>
      <c r="R59" s="2">
        <v>0.22154919599999995</v>
      </c>
    </row>
    <row r="60" spans="1:18" x14ac:dyDescent="0.35">
      <c r="A60" s="54" t="s">
        <v>16</v>
      </c>
      <c r="B60" s="2">
        <v>0</v>
      </c>
      <c r="C60" s="63">
        <v>0</v>
      </c>
      <c r="D60" s="2">
        <v>0</v>
      </c>
      <c r="E60" s="2">
        <v>22.325928052294536</v>
      </c>
      <c r="F60" s="2">
        <v>0</v>
      </c>
      <c r="G60" s="41"/>
      <c r="H60" s="41"/>
      <c r="I60" s="2">
        <v>-22.325928052294536</v>
      </c>
      <c r="J60" s="41"/>
      <c r="K60" s="2">
        <v>15.629579019800929</v>
      </c>
      <c r="L60" s="2">
        <v>6.696349032493611</v>
      </c>
      <c r="M60" s="2">
        <v>30</v>
      </c>
      <c r="N60" s="2">
        <v>0</v>
      </c>
      <c r="O60" s="41">
        <v>0</v>
      </c>
      <c r="P60" s="2">
        <v>0</v>
      </c>
      <c r="Q60" s="55">
        <v>0</v>
      </c>
      <c r="R60" s="2">
        <v>0</v>
      </c>
    </row>
    <row r="61" spans="1:18" x14ac:dyDescent="0.35">
      <c r="A61" s="54" t="s">
        <v>20</v>
      </c>
      <c r="B61" s="2">
        <v>0</v>
      </c>
      <c r="C61" s="63">
        <v>0</v>
      </c>
      <c r="D61" s="2">
        <v>0</v>
      </c>
      <c r="E61" s="2">
        <v>4.7698923621280969</v>
      </c>
      <c r="F61" s="2">
        <v>0</v>
      </c>
      <c r="G61" s="41"/>
      <c r="H61" s="41"/>
      <c r="I61" s="2">
        <v>-4.7698923621280969</v>
      </c>
      <c r="J61" s="41"/>
      <c r="K61" s="2">
        <v>3.9021460733291766</v>
      </c>
      <c r="L61" s="2">
        <v>0.86774628879892046</v>
      </c>
      <c r="M61" s="2">
        <v>8</v>
      </c>
      <c r="N61" s="2">
        <v>0</v>
      </c>
      <c r="O61" s="41">
        <v>0</v>
      </c>
      <c r="P61" s="2">
        <v>0</v>
      </c>
      <c r="Q61" s="55">
        <v>0</v>
      </c>
      <c r="R61" s="2">
        <v>0</v>
      </c>
    </row>
    <row r="62" spans="1:18" x14ac:dyDescent="0.35">
      <c r="A62" s="54" t="s">
        <v>62</v>
      </c>
      <c r="B62" s="2">
        <v>0</v>
      </c>
      <c r="C62" s="63">
        <v>0</v>
      </c>
      <c r="D62" s="2">
        <v>0</v>
      </c>
      <c r="E62" s="2">
        <v>0</v>
      </c>
      <c r="F62" s="2">
        <v>0</v>
      </c>
      <c r="G62" s="41"/>
      <c r="H62" s="41"/>
      <c r="I62" s="2">
        <v>0</v>
      </c>
      <c r="J62" s="41"/>
      <c r="K62" s="2">
        <v>0</v>
      </c>
      <c r="L62" s="2">
        <v>0</v>
      </c>
      <c r="M62" s="2">
        <v>0</v>
      </c>
      <c r="N62" s="2">
        <v>0</v>
      </c>
      <c r="O62" s="41">
        <v>0.06</v>
      </c>
      <c r="P62" s="2">
        <v>0</v>
      </c>
      <c r="Q62" s="55">
        <v>0</v>
      </c>
      <c r="R62" s="2">
        <v>0</v>
      </c>
    </row>
    <row r="63" spans="1:18" x14ac:dyDescent="0.35">
      <c r="A63" s="54" t="s">
        <v>61</v>
      </c>
      <c r="B63" s="2">
        <v>0</v>
      </c>
      <c r="C63" s="63">
        <v>0</v>
      </c>
      <c r="D63" s="2">
        <v>0</v>
      </c>
      <c r="E63" s="2">
        <v>0</v>
      </c>
      <c r="F63" s="2">
        <v>0</v>
      </c>
      <c r="G63" s="41"/>
      <c r="H63" s="41"/>
      <c r="I63" s="2">
        <v>0</v>
      </c>
      <c r="J63" s="41"/>
      <c r="K63" s="2">
        <v>0</v>
      </c>
      <c r="L63" s="2">
        <v>0</v>
      </c>
      <c r="M63" s="2">
        <v>0</v>
      </c>
      <c r="N63" s="2">
        <v>0</v>
      </c>
      <c r="O63" s="41">
        <v>0</v>
      </c>
      <c r="P63" s="2">
        <v>0</v>
      </c>
      <c r="Q63" s="55">
        <v>0</v>
      </c>
      <c r="R63" s="2">
        <v>0</v>
      </c>
    </row>
    <row r="64" spans="1:18" x14ac:dyDescent="0.35">
      <c r="A64" s="54" t="s">
        <v>131</v>
      </c>
      <c r="B64" s="2">
        <v>0</v>
      </c>
      <c r="C64" s="63">
        <v>0</v>
      </c>
      <c r="D64" s="2">
        <v>0</v>
      </c>
      <c r="E64" s="2">
        <v>0.90723016905071519</v>
      </c>
      <c r="F64" s="2">
        <v>0</v>
      </c>
      <c r="G64" s="41"/>
      <c r="H64" s="41"/>
      <c r="I64" s="2">
        <v>-0.90723016905071519</v>
      </c>
      <c r="J64" s="41"/>
      <c r="K64" s="2">
        <v>0.76723016905071517</v>
      </c>
      <c r="L64" s="2">
        <v>0.14000000000000001</v>
      </c>
      <c r="M64" s="2">
        <v>2</v>
      </c>
      <c r="N64" s="2">
        <v>0</v>
      </c>
      <c r="O64" s="41">
        <v>0</v>
      </c>
      <c r="P64" s="2">
        <v>0</v>
      </c>
      <c r="Q64" s="55">
        <v>0</v>
      </c>
      <c r="R64" s="2">
        <v>0</v>
      </c>
    </row>
    <row r="65" spans="1:18" x14ac:dyDescent="0.35">
      <c r="A65" s="54" t="s">
        <v>46</v>
      </c>
      <c r="B65" s="2">
        <v>0</v>
      </c>
      <c r="C65" s="63">
        <v>0</v>
      </c>
      <c r="D65" s="2">
        <v>0</v>
      </c>
      <c r="E65" s="2">
        <v>8.7660516905071511</v>
      </c>
      <c r="F65" s="2">
        <v>0</v>
      </c>
      <c r="G65" s="41"/>
      <c r="H65" s="41"/>
      <c r="I65" s="2">
        <v>-8.7660516905071511</v>
      </c>
      <c r="J65" s="41"/>
      <c r="K65" s="2">
        <v>7.6723016905071519</v>
      </c>
      <c r="L65" s="2">
        <v>1.09375</v>
      </c>
      <c r="M65" s="2">
        <v>20</v>
      </c>
      <c r="N65" s="2">
        <v>0</v>
      </c>
      <c r="O65" s="41">
        <v>0.03</v>
      </c>
      <c r="P65" s="2">
        <v>0</v>
      </c>
      <c r="Q65" s="55">
        <v>0</v>
      </c>
      <c r="R65" s="2">
        <v>0</v>
      </c>
    </row>
    <row r="66" spans="1:18" x14ac:dyDescent="0.35">
      <c r="A66" s="54" t="s">
        <v>60</v>
      </c>
      <c r="B66" s="2">
        <v>0</v>
      </c>
      <c r="C66" s="63">
        <v>0</v>
      </c>
      <c r="D66" s="2">
        <v>0</v>
      </c>
      <c r="E66" s="2">
        <v>0</v>
      </c>
      <c r="F66" s="2">
        <v>0</v>
      </c>
      <c r="G66" s="41"/>
      <c r="H66" s="41"/>
      <c r="I66" s="2">
        <v>0</v>
      </c>
      <c r="J66" s="41"/>
      <c r="K66" s="2">
        <v>0</v>
      </c>
      <c r="L66" s="2">
        <v>0</v>
      </c>
      <c r="M66" s="2">
        <v>0</v>
      </c>
      <c r="N66" s="2">
        <v>0</v>
      </c>
      <c r="O66" s="41">
        <v>0</v>
      </c>
      <c r="P66" s="2">
        <v>0</v>
      </c>
      <c r="Q66" s="55">
        <v>0</v>
      </c>
      <c r="R66" s="2">
        <v>0</v>
      </c>
    </row>
    <row r="67" spans="1:18" x14ac:dyDescent="0.35">
      <c r="A67" s="54" t="s">
        <v>115</v>
      </c>
      <c r="B67" s="2">
        <v>0</v>
      </c>
      <c r="C67" s="63">
        <v>0</v>
      </c>
      <c r="D67" s="2">
        <v>0</v>
      </c>
      <c r="E67" s="2">
        <v>3.1385702708932701</v>
      </c>
      <c r="F67" s="2">
        <v>0</v>
      </c>
      <c r="G67" s="41"/>
      <c r="H67" s="41"/>
      <c r="I67" s="2">
        <v>-3.1385702708932701</v>
      </c>
      <c r="J67" s="41"/>
      <c r="K67" s="2">
        <v>2.8788300111530107</v>
      </c>
      <c r="L67" s="2">
        <v>0.25974025974025972</v>
      </c>
      <c r="M67" s="2">
        <v>6</v>
      </c>
      <c r="N67" s="2">
        <v>0</v>
      </c>
      <c r="O67" s="41">
        <v>0</v>
      </c>
      <c r="P67" s="2">
        <v>0</v>
      </c>
      <c r="Q67" s="55">
        <v>0</v>
      </c>
      <c r="R67" s="2">
        <v>0</v>
      </c>
    </row>
    <row r="68" spans="1:18" x14ac:dyDescent="0.35">
      <c r="A68" s="54" t="s">
        <v>17</v>
      </c>
      <c r="B68" s="2">
        <v>0</v>
      </c>
      <c r="C68" s="63">
        <v>7.9130000000000003</v>
      </c>
      <c r="D68" s="2">
        <v>-7.9130000000000003</v>
      </c>
      <c r="E68" s="2">
        <v>8.7503712209178168</v>
      </c>
      <c r="F68" s="2">
        <v>0</v>
      </c>
      <c r="G68" s="41"/>
      <c r="H68" s="41"/>
      <c r="I68" s="2">
        <v>-16.663371220917817</v>
      </c>
      <c r="J68" s="41">
        <v>2.1058222192490605</v>
      </c>
      <c r="K68" s="2">
        <v>6.2518316079203711</v>
      </c>
      <c r="L68" s="2">
        <v>2.4985396129974444</v>
      </c>
      <c r="M68" s="2">
        <v>12</v>
      </c>
      <c r="N68" s="2">
        <v>0</v>
      </c>
      <c r="O68" s="41">
        <v>0</v>
      </c>
      <c r="P68" s="2">
        <v>0</v>
      </c>
      <c r="Q68" s="55">
        <v>0</v>
      </c>
      <c r="R68" s="2">
        <v>0</v>
      </c>
    </row>
    <row r="69" spans="1:18" x14ac:dyDescent="0.35">
      <c r="A69" s="54" t="s">
        <v>141</v>
      </c>
      <c r="B69" s="2">
        <v>0</v>
      </c>
      <c r="C69" s="63">
        <v>0</v>
      </c>
      <c r="D69" s="2">
        <v>0</v>
      </c>
      <c r="E69" s="2">
        <v>1.4170430957028224</v>
      </c>
      <c r="F69" s="2">
        <v>0</v>
      </c>
      <c r="G69" s="41"/>
      <c r="H69" s="41"/>
      <c r="I69" s="2">
        <v>-1.4170430957028224</v>
      </c>
      <c r="J69" s="41"/>
      <c r="K69" s="2">
        <v>1.1748427672955974</v>
      </c>
      <c r="L69" s="2">
        <v>0.24220032840722497</v>
      </c>
      <c r="M69" s="2">
        <v>2</v>
      </c>
      <c r="N69" s="2">
        <v>0</v>
      </c>
      <c r="O69" s="41">
        <v>0</v>
      </c>
      <c r="P69" s="2">
        <v>0</v>
      </c>
      <c r="Q69" s="55">
        <v>0</v>
      </c>
      <c r="R69" s="2">
        <v>0</v>
      </c>
    </row>
    <row r="70" spans="1:18" x14ac:dyDescent="0.35">
      <c r="A70" s="54" t="s">
        <v>125</v>
      </c>
      <c r="B70" s="2">
        <v>0</v>
      </c>
      <c r="C70" s="63">
        <v>0</v>
      </c>
      <c r="D70" s="2">
        <v>0</v>
      </c>
      <c r="E70" s="2">
        <v>27.326367793392407</v>
      </c>
      <c r="F70" s="2">
        <v>0</v>
      </c>
      <c r="G70" s="41"/>
      <c r="H70" s="41"/>
      <c r="I70" s="2">
        <v>-27.326367793392407</v>
      </c>
      <c r="J70" s="41"/>
      <c r="K70" s="2">
        <v>17.622641509433961</v>
      </c>
      <c r="L70" s="2">
        <v>9.7037262839584457</v>
      </c>
      <c r="M70" s="2">
        <v>30</v>
      </c>
      <c r="N70" s="2">
        <v>0</v>
      </c>
      <c r="O70" s="41">
        <v>0</v>
      </c>
      <c r="P70" s="2">
        <v>0</v>
      </c>
      <c r="Q70" s="55">
        <v>0</v>
      </c>
      <c r="R70" s="2">
        <v>0</v>
      </c>
    </row>
    <row r="71" spans="1:18" x14ac:dyDescent="0.35">
      <c r="A71" s="54" t="s">
        <v>57</v>
      </c>
      <c r="B71" s="2">
        <v>0</v>
      </c>
      <c r="C71" s="63">
        <v>0</v>
      </c>
      <c r="D71" s="2">
        <v>0</v>
      </c>
      <c r="E71" s="2">
        <v>0</v>
      </c>
      <c r="F71" s="2">
        <v>0</v>
      </c>
      <c r="G71" s="41"/>
      <c r="H71" s="41"/>
      <c r="I71" s="2">
        <v>0</v>
      </c>
      <c r="J71" s="41"/>
      <c r="K71" s="2">
        <v>0</v>
      </c>
      <c r="L71" s="2">
        <v>0</v>
      </c>
      <c r="M71" s="2">
        <v>0</v>
      </c>
      <c r="N71" s="2">
        <v>0</v>
      </c>
      <c r="O71" s="41">
        <v>0</v>
      </c>
      <c r="P71" s="2">
        <v>0</v>
      </c>
      <c r="Q71" s="55">
        <v>0</v>
      </c>
      <c r="R71" s="2">
        <v>0</v>
      </c>
    </row>
    <row r="72" spans="1:18" x14ac:dyDescent="0.35">
      <c r="A72" s="54" t="s">
        <v>47</v>
      </c>
      <c r="B72" s="2">
        <v>0</v>
      </c>
      <c r="C72" s="63">
        <v>14.077999999999999</v>
      </c>
      <c r="D72" s="2">
        <v>-14.077999999999999</v>
      </c>
      <c r="E72" s="2">
        <v>0</v>
      </c>
      <c r="F72" s="2">
        <v>0</v>
      </c>
      <c r="G72" s="41"/>
      <c r="H72" s="41"/>
      <c r="I72" s="2">
        <v>-14.077999999999999</v>
      </c>
      <c r="J72" s="41">
        <v>1</v>
      </c>
      <c r="K72" s="2">
        <v>0</v>
      </c>
      <c r="L72" s="2">
        <v>0</v>
      </c>
      <c r="M72" s="2">
        <v>0</v>
      </c>
      <c r="N72" s="2">
        <v>0</v>
      </c>
      <c r="O72" s="41">
        <v>7.9000000000000001E-2</v>
      </c>
      <c r="P72" s="2">
        <v>0</v>
      </c>
      <c r="Q72" s="55">
        <v>0</v>
      </c>
      <c r="R72" s="2">
        <v>0</v>
      </c>
    </row>
    <row r="73" spans="1:18" x14ac:dyDescent="0.35">
      <c r="A73" s="54" t="s">
        <v>15</v>
      </c>
      <c r="B73" s="2">
        <v>0</v>
      </c>
      <c r="C73" s="63">
        <v>0</v>
      </c>
      <c r="D73" s="2">
        <v>0</v>
      </c>
      <c r="E73" s="2">
        <v>10.953840108554305</v>
      </c>
      <c r="F73" s="2">
        <v>0</v>
      </c>
      <c r="G73" s="41"/>
      <c r="H73" s="41"/>
      <c r="I73" s="2">
        <v>-10.953840108554305</v>
      </c>
      <c r="J73" s="41"/>
      <c r="K73" s="2">
        <v>8.3438401085543052</v>
      </c>
      <c r="L73" s="2">
        <v>2.61</v>
      </c>
      <c r="M73" s="2">
        <v>18</v>
      </c>
      <c r="N73" s="2">
        <v>0</v>
      </c>
      <c r="O73" s="41">
        <v>6.5000000000000002E-2</v>
      </c>
      <c r="P73" s="2">
        <v>0</v>
      </c>
      <c r="Q73" s="55">
        <v>0</v>
      </c>
      <c r="R73" s="2">
        <v>0</v>
      </c>
    </row>
    <row r="74" spans="1:18" x14ac:dyDescent="0.35">
      <c r="A74" s="54" t="s">
        <v>118</v>
      </c>
      <c r="B74" s="2">
        <v>0</v>
      </c>
      <c r="C74" s="63">
        <v>0</v>
      </c>
      <c r="D74" s="2">
        <v>0</v>
      </c>
      <c r="E74" s="2">
        <v>3.625185610458908</v>
      </c>
      <c r="F74" s="2">
        <v>0</v>
      </c>
      <c r="G74" s="41"/>
      <c r="H74" s="41"/>
      <c r="I74" s="2">
        <v>-3.625185610458908</v>
      </c>
      <c r="J74" s="41"/>
      <c r="K74" s="2">
        <v>3.1259158039601855</v>
      </c>
      <c r="L74" s="2">
        <v>0.49926980649872216</v>
      </c>
      <c r="M74" s="2">
        <v>6</v>
      </c>
      <c r="N74" s="2">
        <v>0</v>
      </c>
      <c r="O74" s="41">
        <v>0</v>
      </c>
      <c r="P74" s="2">
        <v>0</v>
      </c>
      <c r="Q74" s="55">
        <v>0</v>
      </c>
      <c r="R74" s="2">
        <v>0</v>
      </c>
    </row>
    <row r="75" spans="1:18" x14ac:dyDescent="0.3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R75"/>
    </row>
    <row r="76" spans="1:18" x14ac:dyDescent="0.3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R76"/>
    </row>
    <row r="77" spans="1:18" x14ac:dyDescent="0.3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R77"/>
    </row>
    <row r="78" spans="1:18" x14ac:dyDescent="0.3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R78"/>
    </row>
    <row r="79" spans="1:18" x14ac:dyDescent="0.3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R79"/>
    </row>
    <row r="80" spans="1:18" x14ac:dyDescent="0.3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R80"/>
    </row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  <row r="98" customFormat="1" x14ac:dyDescent="0.35"/>
    <row r="99" customFormat="1" x14ac:dyDescent="0.35"/>
    <row r="100" customFormat="1" x14ac:dyDescent="0.35"/>
    <row r="101" customFormat="1" x14ac:dyDescent="0.35"/>
    <row r="102" customFormat="1" x14ac:dyDescent="0.35"/>
    <row r="103" customFormat="1" x14ac:dyDescent="0.35"/>
    <row r="104" customFormat="1" x14ac:dyDescent="0.35"/>
    <row r="105" customFormat="1" x14ac:dyDescent="0.35"/>
    <row r="106" customFormat="1" x14ac:dyDescent="0.35"/>
    <row r="107" customFormat="1" x14ac:dyDescent="0.35"/>
    <row r="108" customFormat="1" x14ac:dyDescent="0.35"/>
    <row r="109" customFormat="1" x14ac:dyDescent="0.35"/>
    <row r="110" customFormat="1" x14ac:dyDescent="0.35"/>
    <row r="111" customFormat="1" x14ac:dyDescent="0.35"/>
    <row r="112" customFormat="1" x14ac:dyDescent="0.35"/>
    <row r="113" customFormat="1" x14ac:dyDescent="0.35"/>
    <row r="114" customFormat="1" x14ac:dyDescent="0.35"/>
    <row r="115" customFormat="1" x14ac:dyDescent="0.35"/>
    <row r="116" customFormat="1" x14ac:dyDescent="0.35"/>
    <row r="117" customFormat="1" x14ac:dyDescent="0.35"/>
    <row r="118" customFormat="1" x14ac:dyDescent="0.35"/>
  </sheetData>
  <conditionalFormatting pivot="1" sqref="J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9">
    <cfRule type="cellIs" dxfId="191" priority="2" operator="lessThan">
      <formula>0</formula>
    </cfRule>
  </conditionalFormatting>
  <conditionalFormatting pivot="1" sqref="I9">
    <cfRule type="cellIs" dxfId="190" priority="1" operator="greaterThan">
      <formula>0</formula>
    </cfRule>
  </conditionalFormatting>
  <pageMargins left="0.51181102362204722" right="0.51181102362204722" top="0.78740157480314965" bottom="0.78740157480314965" header="0.31496062992125984" footer="0.31496062992125984"/>
  <pageSetup paperSize="9" scale="60" orientation="landscape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D15AE-EA09-47BA-96E2-124A33B39533}">
  <dimension ref="A1:AM379"/>
  <sheetViews>
    <sheetView showGridLines="0" topLeftCell="B1" zoomScale="70" zoomScaleNormal="70" workbookViewId="0">
      <pane ySplit="1" topLeftCell="A383" activePane="bottomLeft" state="frozen"/>
      <selection pane="bottomLeft" activeCell="AM379" sqref="AM313:AM379"/>
    </sheetView>
  </sheetViews>
  <sheetFormatPr defaultRowHeight="12" outlineLevelCol="1" x14ac:dyDescent="0.35"/>
  <cols>
    <col min="1" max="1" width="11.36328125" style="4" customWidth="1"/>
    <col min="2" max="2" width="25.81640625" style="9" customWidth="1"/>
    <col min="3" max="3" width="12.36328125" style="4" customWidth="1"/>
    <col min="4" max="4" width="24.90625" style="9" customWidth="1"/>
    <col min="5" max="5" width="8.7265625" style="15"/>
    <col min="6" max="6" width="10.1796875" style="10" customWidth="1"/>
    <col min="7" max="7" width="12.1796875" style="36" customWidth="1"/>
    <col min="8" max="10" width="9.36328125" style="10" customWidth="1"/>
    <col min="11" max="11" width="9.453125" style="10" customWidth="1"/>
    <col min="12" max="12" width="8.7265625" style="10" customWidth="1"/>
    <col min="13" max="13" width="9.453125" style="10" customWidth="1"/>
    <col min="14" max="14" width="8.7265625" style="11" customWidth="1" outlineLevel="1"/>
    <col min="15" max="16" width="8.7265625" style="4" customWidth="1" outlineLevel="1"/>
    <col min="17" max="17" width="8.7265625" style="34" customWidth="1"/>
    <col min="18" max="18" width="8.7265625" style="4" customWidth="1"/>
    <col min="19" max="20" width="9.453125" style="10" customWidth="1"/>
    <col min="21" max="21" width="10.90625" style="22" customWidth="1"/>
    <col min="22" max="22" width="8.7265625" style="4" customWidth="1"/>
    <col min="23" max="23" width="8.7265625" style="10" customWidth="1"/>
    <col min="24" max="24" width="9.453125" style="10" bestFit="1" customWidth="1"/>
    <col min="25" max="25" width="9.453125" style="36" customWidth="1"/>
    <col min="26" max="27" width="8.7265625" style="4" customWidth="1"/>
    <col min="28" max="28" width="10.36328125" style="10" bestFit="1" customWidth="1"/>
    <col min="29" max="29" width="10.36328125" style="43" bestFit="1" customWidth="1"/>
    <col min="30" max="30" width="10.36328125" style="43" customWidth="1"/>
    <col min="31" max="31" width="10.36328125" style="44" customWidth="1"/>
    <col min="32" max="32" width="9.26953125" style="10" customWidth="1"/>
    <col min="33" max="33" width="10.36328125" style="10" bestFit="1" customWidth="1"/>
    <col min="34" max="34" width="10.36328125" style="12" bestFit="1" customWidth="1"/>
    <col min="35" max="35" width="8.81640625" style="10" customWidth="1"/>
    <col min="36" max="36" width="8.7265625" style="4"/>
    <col min="37" max="38" width="12.36328125" style="4" customWidth="1"/>
    <col min="39" max="39" width="11.1796875" style="4" customWidth="1"/>
    <col min="40" max="16384" width="8.7265625" style="4"/>
  </cols>
  <sheetData>
    <row r="1" spans="1:39" ht="24" x14ac:dyDescent="0.35">
      <c r="A1" s="13" t="s">
        <v>107</v>
      </c>
      <c r="B1" s="60" t="s">
        <v>4</v>
      </c>
      <c r="C1" s="6" t="s">
        <v>66</v>
      </c>
      <c r="D1" s="8" t="s">
        <v>56</v>
      </c>
      <c r="E1" s="14" t="s">
        <v>67</v>
      </c>
      <c r="F1" s="7" t="s">
        <v>68</v>
      </c>
      <c r="G1" s="52" t="s">
        <v>69</v>
      </c>
      <c r="H1" s="19" t="s">
        <v>70</v>
      </c>
      <c r="I1" s="19" t="s">
        <v>78</v>
      </c>
      <c r="J1" s="20" t="s">
        <v>84</v>
      </c>
      <c r="K1" s="20" t="s">
        <v>2</v>
      </c>
      <c r="L1" s="20" t="s">
        <v>71</v>
      </c>
      <c r="M1" s="20" t="s">
        <v>72</v>
      </c>
      <c r="N1" s="17" t="s">
        <v>74</v>
      </c>
      <c r="O1" s="18" t="s">
        <v>75</v>
      </c>
      <c r="P1" s="18" t="s">
        <v>76</v>
      </c>
      <c r="Q1" s="33" t="s">
        <v>93</v>
      </c>
      <c r="R1" s="19" t="s">
        <v>94</v>
      </c>
      <c r="S1" s="23" t="s">
        <v>77</v>
      </c>
      <c r="T1" s="23" t="s">
        <v>95</v>
      </c>
      <c r="U1" s="25" t="s">
        <v>90</v>
      </c>
      <c r="V1" s="25" t="s">
        <v>54</v>
      </c>
      <c r="W1" s="23" t="s">
        <v>96</v>
      </c>
      <c r="X1" s="37" t="s">
        <v>100</v>
      </c>
      <c r="Y1" s="38" t="s">
        <v>101</v>
      </c>
      <c r="Z1" s="13" t="s">
        <v>102</v>
      </c>
      <c r="AA1" s="13" t="s">
        <v>103</v>
      </c>
      <c r="AB1" s="46" t="s">
        <v>104</v>
      </c>
      <c r="AC1" s="50" t="s">
        <v>105</v>
      </c>
      <c r="AD1" s="50" t="s">
        <v>106</v>
      </c>
      <c r="AE1" s="45" t="s">
        <v>1</v>
      </c>
      <c r="AF1" s="46" t="s">
        <v>110</v>
      </c>
      <c r="AG1" s="47" t="s">
        <v>111</v>
      </c>
      <c r="AH1" s="48" t="s">
        <v>109</v>
      </c>
      <c r="AI1" s="49" t="s">
        <v>2</v>
      </c>
      <c r="AJ1" s="49" t="s">
        <v>3</v>
      </c>
      <c r="AK1" s="6" t="s">
        <v>66</v>
      </c>
      <c r="AL1" s="6" t="s">
        <v>122</v>
      </c>
      <c r="AM1" s="4" t="s">
        <v>132</v>
      </c>
    </row>
    <row r="2" spans="1:39" x14ac:dyDescent="0.35">
      <c r="A2" s="5" t="s">
        <v>108</v>
      </c>
      <c r="B2" s="9" t="str">
        <f>VLOOKUP(D2,Auxiliar!A:C,2,0)</f>
        <v>MG ABC</v>
      </c>
      <c r="C2" s="5" t="str">
        <f>VLOOKUP(D2,Auxiliar!A:C,3,0)</f>
        <v>Luisa</v>
      </c>
      <c r="D2" s="9" t="s">
        <v>9</v>
      </c>
      <c r="E2" s="16">
        <v>0.51684636844876086</v>
      </c>
      <c r="F2" s="24">
        <v>0</v>
      </c>
      <c r="G2" s="53">
        <v>0</v>
      </c>
      <c r="H2" s="10">
        <v>0</v>
      </c>
      <c r="I2" s="10">
        <v>4.1875357607282186</v>
      </c>
      <c r="J2" s="10">
        <v>0</v>
      </c>
      <c r="K2" s="10">
        <v>3.4525357607282183</v>
      </c>
      <c r="L2" s="10">
        <v>0.73499999999999999</v>
      </c>
      <c r="M2" s="10">
        <v>0</v>
      </c>
      <c r="N2" s="11">
        <v>0.03</v>
      </c>
      <c r="O2" s="12">
        <v>0.02</v>
      </c>
      <c r="P2" s="11">
        <v>3.5000000000000003E-2</v>
      </c>
      <c r="Q2" s="35">
        <v>-4.1875357607282186</v>
      </c>
      <c r="R2" s="12">
        <v>0</v>
      </c>
      <c r="S2" s="10">
        <v>0</v>
      </c>
      <c r="T2" s="10">
        <v>0</v>
      </c>
      <c r="U2" s="22">
        <v>1</v>
      </c>
      <c r="V2" s="10">
        <v>9</v>
      </c>
      <c r="W2" s="10">
        <v>0</v>
      </c>
      <c r="X2" s="40">
        <v>10.517386829835599</v>
      </c>
      <c r="Y2" s="39">
        <v>1.1685985366484</v>
      </c>
      <c r="Z2" s="15">
        <v>0.60184636844876083</v>
      </c>
      <c r="AA2" s="10">
        <v>4.1875357607282186</v>
      </c>
      <c r="AB2" s="10">
        <v>0</v>
      </c>
      <c r="AC2" s="43" t="e">
        <v>#DIV/0!</v>
      </c>
      <c r="AD2" s="43">
        <v>0</v>
      </c>
      <c r="AE2" s="44">
        <v>0</v>
      </c>
      <c r="AF2" s="10">
        <v>735</v>
      </c>
      <c r="AG2" s="10">
        <v>4432.8756099999982</v>
      </c>
      <c r="AH2" s="12">
        <v>0</v>
      </c>
      <c r="AI2" s="10">
        <v>3452.5357607282185</v>
      </c>
      <c r="AJ2" s="10">
        <v>735</v>
      </c>
      <c r="AK2" s="5" t="s">
        <v>113</v>
      </c>
      <c r="AL2" s="5" t="s">
        <v>113</v>
      </c>
      <c r="AM2" s="4" t="s">
        <v>119</v>
      </c>
    </row>
    <row r="3" spans="1:39" x14ac:dyDescent="0.35">
      <c r="A3" s="5" t="s">
        <v>108</v>
      </c>
      <c r="B3" s="9" t="str">
        <f>VLOOKUP(D3,Auxiliar!A:C,2,0)</f>
        <v>MG BEM HORTIFRUT</v>
      </c>
      <c r="C3" s="5" t="str">
        <f>VLOOKUP(D3,Auxiliar!A:C,3,0)</f>
        <v>Luisa</v>
      </c>
      <c r="D3" s="9" t="s">
        <v>10</v>
      </c>
      <c r="E3" s="16">
        <v>0</v>
      </c>
      <c r="F3" s="24">
        <v>0</v>
      </c>
      <c r="G3" s="53">
        <v>0</v>
      </c>
      <c r="H3" s="10">
        <v>0</v>
      </c>
      <c r="I3" s="10">
        <v>6.4467143476376245</v>
      </c>
      <c r="J3" s="10">
        <v>0</v>
      </c>
      <c r="K3" s="10">
        <v>4.6033810143042908</v>
      </c>
      <c r="L3" s="10">
        <v>1.8433333333333335</v>
      </c>
      <c r="M3" s="10">
        <v>0</v>
      </c>
      <c r="N3" s="11">
        <v>0</v>
      </c>
      <c r="O3" s="12">
        <v>0.02</v>
      </c>
      <c r="P3" s="11">
        <v>3.5000000000000003E-2</v>
      </c>
      <c r="Q3" s="35">
        <v>-6.4467143476376245</v>
      </c>
      <c r="R3" s="12">
        <v>0</v>
      </c>
      <c r="S3" s="10">
        <v>0</v>
      </c>
      <c r="T3" s="10">
        <v>0</v>
      </c>
      <c r="U3" s="22">
        <v>1</v>
      </c>
      <c r="V3" s="10">
        <v>12</v>
      </c>
      <c r="W3" s="10">
        <v>0</v>
      </c>
      <c r="X3" s="40">
        <v>6.8219199445900793</v>
      </c>
      <c r="Y3" s="39">
        <v>0.56849332871583991</v>
      </c>
      <c r="Z3" s="15">
        <v>5.5000000000000007E-2</v>
      </c>
      <c r="AA3" s="10">
        <v>6.4467143476376245</v>
      </c>
      <c r="AB3" s="10">
        <v>0</v>
      </c>
      <c r="AC3" s="43" t="e">
        <v>#DIV/0!</v>
      </c>
      <c r="AD3" s="43">
        <v>0</v>
      </c>
      <c r="AE3" s="44">
        <v>0</v>
      </c>
      <c r="AF3" s="10">
        <v>1843.3333333333335</v>
      </c>
      <c r="AG3" s="10">
        <v>4432.8756099999982</v>
      </c>
      <c r="AH3" s="12">
        <v>0</v>
      </c>
      <c r="AI3" s="10">
        <v>4603.3810143042911</v>
      </c>
      <c r="AJ3" s="10">
        <v>1843.3333333333335</v>
      </c>
      <c r="AK3" s="5" t="s">
        <v>113</v>
      </c>
      <c r="AL3" s="5" t="s">
        <v>113</v>
      </c>
      <c r="AM3" s="4" t="s">
        <v>119</v>
      </c>
    </row>
    <row r="4" spans="1:39" x14ac:dyDescent="0.35">
      <c r="A4" s="5" t="s">
        <v>108</v>
      </c>
      <c r="B4" s="9" t="str">
        <f>VLOOKUP(D4,Auxiliar!A:C,2,0)</f>
        <v>MT BIG LAR</v>
      </c>
      <c r="C4" s="5" t="str">
        <f>VLOOKUP(D4,Auxiliar!A:C,3,0)</f>
        <v>Luisa</v>
      </c>
      <c r="D4" s="9" t="s">
        <v>17</v>
      </c>
      <c r="E4" s="16">
        <v>0</v>
      </c>
      <c r="F4" s="24">
        <v>0</v>
      </c>
      <c r="G4" s="53">
        <v>0</v>
      </c>
      <c r="H4" s="10">
        <v>0</v>
      </c>
      <c r="I4" s="10">
        <v>1.0172301690507153</v>
      </c>
      <c r="J4" s="10">
        <v>0</v>
      </c>
      <c r="K4" s="10">
        <v>0.76723016905071517</v>
      </c>
      <c r="L4" s="10">
        <v>0.25</v>
      </c>
      <c r="M4" s="10">
        <v>0</v>
      </c>
      <c r="N4" s="11">
        <v>0</v>
      </c>
      <c r="O4" s="12">
        <v>0.02</v>
      </c>
      <c r="P4" s="11">
        <v>3.5000000000000003E-2</v>
      </c>
      <c r="Q4" s="35">
        <v>-1.0172301690507153</v>
      </c>
      <c r="R4" s="12">
        <v>0</v>
      </c>
      <c r="S4" s="10">
        <v>0</v>
      </c>
      <c r="T4" s="10">
        <v>0</v>
      </c>
      <c r="U4" s="22">
        <v>1</v>
      </c>
      <c r="V4" s="10">
        <v>2</v>
      </c>
      <c r="W4" s="10">
        <v>0</v>
      </c>
      <c r="X4" s="40">
        <v>1.0764340413235083</v>
      </c>
      <c r="Y4" s="39">
        <v>0.53821702066175414</v>
      </c>
      <c r="Z4" s="15">
        <v>5.5000000000000007E-2</v>
      </c>
      <c r="AA4" s="10">
        <v>1.0172301690507153</v>
      </c>
      <c r="AB4" s="10">
        <v>2992.2630099999983</v>
      </c>
      <c r="AC4" s="43">
        <v>0</v>
      </c>
      <c r="AD4" s="43">
        <v>0</v>
      </c>
      <c r="AE4" s="44">
        <v>0</v>
      </c>
      <c r="AF4" s="10">
        <v>250</v>
      </c>
      <c r="AG4" s="10">
        <v>4432.8756099999982</v>
      </c>
      <c r="AH4" s="12">
        <v>0</v>
      </c>
      <c r="AI4" s="10">
        <v>767.23016905071518</v>
      </c>
      <c r="AJ4" s="10">
        <v>250</v>
      </c>
      <c r="AK4" s="5" t="s">
        <v>113</v>
      </c>
      <c r="AL4" s="5" t="s">
        <v>29</v>
      </c>
      <c r="AM4" s="4" t="s">
        <v>119</v>
      </c>
    </row>
    <row r="5" spans="1:39" x14ac:dyDescent="0.35">
      <c r="A5" s="5" t="s">
        <v>108</v>
      </c>
      <c r="B5" s="9" t="str">
        <f>VLOOKUP(D5,Auxiliar!A:C,2,0)</f>
        <v>MT BOM GOSTO</v>
      </c>
      <c r="C5" s="5" t="str">
        <f>VLOOKUP(D5,Auxiliar!A:C,3,0)</f>
        <v>Luisa</v>
      </c>
      <c r="D5" s="9" t="s">
        <v>60</v>
      </c>
      <c r="E5" s="16">
        <v>0</v>
      </c>
      <c r="F5" s="24">
        <v>0</v>
      </c>
      <c r="G5" s="53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1">
        <v>0</v>
      </c>
      <c r="O5" s="12">
        <v>0.02</v>
      </c>
      <c r="P5" s="11">
        <v>3.5000000000000003E-2</v>
      </c>
      <c r="Q5" s="35">
        <v>0</v>
      </c>
      <c r="R5" s="12">
        <v>0</v>
      </c>
      <c r="S5" s="10">
        <v>0</v>
      </c>
      <c r="T5" s="10">
        <v>0</v>
      </c>
      <c r="U5" s="22">
        <v>1</v>
      </c>
      <c r="V5" s="10">
        <v>0</v>
      </c>
      <c r="W5" s="10">
        <v>0</v>
      </c>
      <c r="X5" s="40">
        <v>0</v>
      </c>
      <c r="Y5" s="39">
        <v>0</v>
      </c>
      <c r="Z5" s="15">
        <v>5.5000000000000007E-2</v>
      </c>
      <c r="AA5" s="10">
        <v>0</v>
      </c>
      <c r="AB5" s="10">
        <v>0</v>
      </c>
      <c r="AC5" s="43" t="e">
        <v>#DIV/0!</v>
      </c>
      <c r="AD5" s="43">
        <v>0</v>
      </c>
      <c r="AE5" s="44">
        <v>0</v>
      </c>
      <c r="AF5" s="10">
        <v>0</v>
      </c>
      <c r="AG5" s="10">
        <v>4432.8756099999982</v>
      </c>
      <c r="AH5" s="12">
        <v>0</v>
      </c>
      <c r="AI5" s="10">
        <v>0</v>
      </c>
      <c r="AJ5" s="10">
        <v>0</v>
      </c>
      <c r="AK5" s="5" t="s">
        <v>113</v>
      </c>
      <c r="AL5" s="5" t="s">
        <v>113</v>
      </c>
      <c r="AM5" s="4" t="s">
        <v>119</v>
      </c>
    </row>
    <row r="6" spans="1:39" x14ac:dyDescent="0.35">
      <c r="A6" s="5" t="s">
        <v>108</v>
      </c>
      <c r="B6" s="9" t="str">
        <f>VLOOKUP(D6,Auxiliar!A:C,2,0)</f>
        <v>SP CASA SANTA LUZIA</v>
      </c>
      <c r="C6" s="5" t="str">
        <f>VLOOKUP(D6,Auxiliar!A:C,3,0)</f>
        <v>Julliano</v>
      </c>
      <c r="D6" s="9" t="s">
        <v>19</v>
      </c>
      <c r="E6" s="16">
        <v>0.42005658280286956</v>
      </c>
      <c r="F6" s="24">
        <v>3.9588000000000001</v>
      </c>
      <c r="G6" s="53">
        <v>0</v>
      </c>
      <c r="H6" s="10">
        <v>3.9588000000000001</v>
      </c>
      <c r="I6" s="10">
        <v>2.7039169042773032</v>
      </c>
      <c r="J6" s="10">
        <v>1.66292</v>
      </c>
      <c r="K6" s="10">
        <v>0.38361508452535759</v>
      </c>
      <c r="L6" s="10">
        <v>0.43964781975194561</v>
      </c>
      <c r="M6" s="10">
        <v>0.21773400000000004</v>
      </c>
      <c r="N6" s="11">
        <v>0</v>
      </c>
      <c r="O6" s="12">
        <v>0.02</v>
      </c>
      <c r="P6" s="11">
        <v>3.5000000000000003E-2</v>
      </c>
      <c r="Q6" s="35">
        <v>1.2548830957226969</v>
      </c>
      <c r="R6" s="12">
        <v>0.31698572691792887</v>
      </c>
      <c r="S6" s="10">
        <v>0</v>
      </c>
      <c r="T6" s="10">
        <v>0</v>
      </c>
      <c r="U6" s="22">
        <v>1</v>
      </c>
      <c r="V6" s="10">
        <v>1</v>
      </c>
      <c r="W6" s="10">
        <v>0</v>
      </c>
      <c r="X6" s="40">
        <v>1.5682888427728312</v>
      </c>
      <c r="Y6" s="39">
        <v>1.5682888427728312</v>
      </c>
      <c r="Z6" s="15">
        <v>0.47505658280286955</v>
      </c>
      <c r="AA6" s="10">
        <v>0.8232629042773032</v>
      </c>
      <c r="AB6" s="10">
        <v>180.08960000000002</v>
      </c>
      <c r="AC6" s="43">
        <v>2.1982390987597283E-2</v>
      </c>
      <c r="AD6" s="43">
        <v>8.9305461021045921E-4</v>
      </c>
      <c r="AE6" s="44">
        <v>439.64781975194563</v>
      </c>
      <c r="AF6" s="10">
        <v>0</v>
      </c>
      <c r="AG6" s="10">
        <v>4432.8756099999982</v>
      </c>
      <c r="AH6" s="12">
        <v>8.9305461021045921E-4</v>
      </c>
      <c r="AI6" s="10">
        <v>383.61508452535759</v>
      </c>
      <c r="AJ6" s="10">
        <v>439.64781975194563</v>
      </c>
      <c r="AK6" s="5" t="s">
        <v>130</v>
      </c>
      <c r="AL6" s="5" t="s">
        <v>130</v>
      </c>
      <c r="AM6" s="4" t="s">
        <v>119</v>
      </c>
    </row>
    <row r="7" spans="1:39" x14ac:dyDescent="0.35">
      <c r="A7" s="5" t="s">
        <v>108</v>
      </c>
      <c r="B7" s="9" t="str">
        <f>VLOOKUP(D7,Auxiliar!A:C,2,0)</f>
        <v>ES CASAGRANDE</v>
      </c>
      <c r="C7" s="5" t="str">
        <f>VLOOKUP(D7,Auxiliar!A:C,3,0)</f>
        <v>Luisa</v>
      </c>
      <c r="D7" s="9" t="s">
        <v>57</v>
      </c>
      <c r="E7" s="16">
        <v>0</v>
      </c>
      <c r="F7" s="24">
        <v>0</v>
      </c>
      <c r="G7" s="53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1">
        <v>0</v>
      </c>
      <c r="O7" s="12">
        <v>0.02</v>
      </c>
      <c r="P7" s="11">
        <v>3.5000000000000003E-2</v>
      </c>
      <c r="Q7" s="35">
        <v>0</v>
      </c>
      <c r="R7" s="12">
        <v>0</v>
      </c>
      <c r="S7" s="10">
        <v>0</v>
      </c>
      <c r="T7" s="10">
        <v>0</v>
      </c>
      <c r="U7" s="22">
        <v>1</v>
      </c>
      <c r="V7" s="10">
        <v>0</v>
      </c>
      <c r="W7" s="10">
        <v>0</v>
      </c>
      <c r="X7" s="40">
        <v>0</v>
      </c>
      <c r="Y7" s="39">
        <v>0</v>
      </c>
      <c r="Z7" s="15">
        <v>5.5000000000000007E-2</v>
      </c>
      <c r="AA7" s="10">
        <v>0</v>
      </c>
      <c r="AB7" s="10">
        <v>0</v>
      </c>
      <c r="AC7" s="43" t="e">
        <v>#DIV/0!</v>
      </c>
      <c r="AD7" s="43">
        <v>0</v>
      </c>
      <c r="AE7" s="44">
        <v>0</v>
      </c>
      <c r="AF7" s="10">
        <v>0</v>
      </c>
      <c r="AG7" s="10">
        <v>4432.8756099999982</v>
      </c>
      <c r="AH7" s="12">
        <v>0</v>
      </c>
      <c r="AI7" s="10">
        <v>0</v>
      </c>
      <c r="AJ7" s="10">
        <v>0</v>
      </c>
      <c r="AK7" s="5" t="s">
        <v>113</v>
      </c>
      <c r="AL7" s="5" t="s">
        <v>113</v>
      </c>
      <c r="AM7" s="4" t="s">
        <v>119</v>
      </c>
    </row>
    <row r="8" spans="1:39" x14ac:dyDescent="0.35">
      <c r="A8" s="5" t="s">
        <v>108</v>
      </c>
      <c r="B8" s="9" t="str">
        <f>VLOOKUP(D8,Auxiliar!A:C,2,0)</f>
        <v>MG COELHO DINIZ</v>
      </c>
      <c r="C8" s="5" t="str">
        <f>VLOOKUP(D8,Auxiliar!A:C,3,0)</f>
        <v>Luisa</v>
      </c>
      <c r="D8" s="9" t="s">
        <v>12</v>
      </c>
      <c r="E8" s="16">
        <v>0.51188018027409643</v>
      </c>
      <c r="F8" s="24">
        <v>125.47116000000001</v>
      </c>
      <c r="G8" s="53">
        <v>0</v>
      </c>
      <c r="H8" s="10">
        <v>125.47116000000001</v>
      </c>
      <c r="I8" s="10">
        <v>84.05838650572241</v>
      </c>
      <c r="J8" s="10">
        <v>64.226200000000006</v>
      </c>
      <c r="K8" s="10">
        <v>6.1378413524057214</v>
      </c>
      <c r="L8" s="10">
        <v>3.0292965533166827</v>
      </c>
      <c r="M8" s="10">
        <v>10.665048600000002</v>
      </c>
      <c r="N8" s="11">
        <v>0.03</v>
      </c>
      <c r="O8" s="12">
        <v>0.02</v>
      </c>
      <c r="P8" s="11">
        <v>3.5000000000000003E-2</v>
      </c>
      <c r="Q8" s="35">
        <v>41.412773494277602</v>
      </c>
      <c r="R8" s="12">
        <v>0.33005810653442269</v>
      </c>
      <c r="S8" s="10">
        <v>0</v>
      </c>
      <c r="T8" s="10">
        <v>0</v>
      </c>
      <c r="U8" s="22">
        <v>1</v>
      </c>
      <c r="V8" s="10">
        <v>16</v>
      </c>
      <c r="W8" s="10">
        <v>3.7641348000000003</v>
      </c>
      <c r="X8" s="40">
        <v>22.740479274761256</v>
      </c>
      <c r="Y8" s="39">
        <v>1.4212799546725785</v>
      </c>
      <c r="Z8" s="15">
        <v>0.59688018027409639</v>
      </c>
      <c r="AA8" s="10">
        <v>9.1671379057224041</v>
      </c>
      <c r="AB8" s="10">
        <v>2992.2630099999983</v>
      </c>
      <c r="AC8" s="43">
        <v>4.1931862132667301E-2</v>
      </c>
      <c r="AD8" s="43">
        <v>2.8304687755495144E-2</v>
      </c>
      <c r="AE8" s="44">
        <v>1048.2965533166825</v>
      </c>
      <c r="AF8" s="10">
        <v>1981</v>
      </c>
      <c r="AG8" s="10">
        <v>4432.8756099999982</v>
      </c>
      <c r="AH8" s="12">
        <v>2.8304687755495144E-2</v>
      </c>
      <c r="AI8" s="10">
        <v>6137.8413524057214</v>
      </c>
      <c r="AJ8" s="10">
        <v>3029.2965533166825</v>
      </c>
      <c r="AK8" s="5" t="s">
        <v>113</v>
      </c>
      <c r="AL8" s="5" t="s">
        <v>29</v>
      </c>
      <c r="AM8" s="4" t="s">
        <v>119</v>
      </c>
    </row>
    <row r="9" spans="1:39" x14ac:dyDescent="0.35">
      <c r="A9" s="5" t="s">
        <v>108</v>
      </c>
      <c r="B9" s="9" t="str">
        <f>VLOOKUP(D9,Auxiliar!A:C,2,0)</f>
        <v>DF EMPÓRIO PRIME</v>
      </c>
      <c r="C9" s="5" t="str">
        <f>VLOOKUP(D9,Auxiliar!A:C,3,0)</f>
        <v>Luisa</v>
      </c>
      <c r="D9" s="9" t="s">
        <v>7</v>
      </c>
      <c r="E9" s="16">
        <v>0.45762931755564124</v>
      </c>
      <c r="F9" s="24">
        <v>5.85806</v>
      </c>
      <c r="G9" s="53">
        <v>1</v>
      </c>
      <c r="H9" s="10">
        <v>4.85806</v>
      </c>
      <c r="I9" s="10">
        <v>3.6150589555227639</v>
      </c>
      <c r="J9" s="10">
        <v>2.6808199999999998</v>
      </c>
      <c r="K9" s="10">
        <v>0.38361508452535759</v>
      </c>
      <c r="L9" s="10">
        <v>0.22843057099740638</v>
      </c>
      <c r="M9" s="10">
        <v>0.32219330000000007</v>
      </c>
      <c r="N9" s="11">
        <v>0</v>
      </c>
      <c r="O9" s="12">
        <v>0.02</v>
      </c>
      <c r="P9" s="11">
        <v>3.5000000000000003E-2</v>
      </c>
      <c r="Q9" s="35">
        <v>1.2430010444772361</v>
      </c>
      <c r="R9" s="12">
        <v>0.25586366666472543</v>
      </c>
      <c r="S9" s="10">
        <v>0.45762931755564124</v>
      </c>
      <c r="T9" s="10">
        <v>0.17070497741573148</v>
      </c>
      <c r="U9" s="22">
        <v>1</v>
      </c>
      <c r="V9" s="10">
        <v>1</v>
      </c>
      <c r="W9" s="10">
        <v>0</v>
      </c>
      <c r="X9" s="40">
        <v>3.3076377254325404</v>
      </c>
      <c r="Y9" s="39">
        <v>3.3076377254325404</v>
      </c>
      <c r="Z9" s="15">
        <v>0.51262931755564123</v>
      </c>
      <c r="AA9" s="10">
        <v>0.61204565552276402</v>
      </c>
      <c r="AB9" s="10">
        <v>2992.2630099999983</v>
      </c>
      <c r="AC9" s="43">
        <v>1.9577356604090772E-3</v>
      </c>
      <c r="AD9" s="43">
        <v>1.3215033570499856E-3</v>
      </c>
      <c r="AE9" s="44">
        <v>48.943391510226931</v>
      </c>
      <c r="AF9" s="10">
        <v>179.48717948717947</v>
      </c>
      <c r="AG9" s="10">
        <v>4432.8756099999982</v>
      </c>
      <c r="AH9" s="12">
        <v>1.3215033570499856E-3</v>
      </c>
      <c r="AI9" s="10">
        <v>383.61508452535759</v>
      </c>
      <c r="AJ9" s="10">
        <v>228.43057099740639</v>
      </c>
      <c r="AK9" s="5" t="s">
        <v>113</v>
      </c>
      <c r="AL9" s="5" t="s">
        <v>29</v>
      </c>
      <c r="AM9" s="4" t="s">
        <v>119</v>
      </c>
    </row>
    <row r="10" spans="1:39" x14ac:dyDescent="0.35">
      <c r="A10" s="5" t="s">
        <v>108</v>
      </c>
      <c r="B10" s="9" t="str">
        <f>VLOOKUP(D10,Auxiliar!A:C,2,0)</f>
        <v>DF EMPÓRIO PRIME</v>
      </c>
      <c r="C10" s="5" t="str">
        <f>VLOOKUP(D10,Auxiliar!A:C,3,0)</f>
        <v>Luisa</v>
      </c>
      <c r="D10" s="9" t="s">
        <v>8</v>
      </c>
      <c r="E10" s="16">
        <v>0.46384400677682985</v>
      </c>
      <c r="F10" s="24">
        <v>41.860279999999975</v>
      </c>
      <c r="G10" s="53">
        <v>9</v>
      </c>
      <c r="H10" s="10">
        <v>32.860279999999975</v>
      </c>
      <c r="I10" s="10">
        <v>24.403153376972934</v>
      </c>
      <c r="J10" s="10">
        <v>19.416639999999983</v>
      </c>
      <c r="K10" s="10">
        <v>1.5344603381014303</v>
      </c>
      <c r="L10" s="10">
        <v>1.1497376388715244</v>
      </c>
      <c r="M10" s="10">
        <v>2.302315399999999</v>
      </c>
      <c r="N10" s="11">
        <v>0</v>
      </c>
      <c r="O10" s="12">
        <v>0.02</v>
      </c>
      <c r="P10" s="11">
        <v>3.5000000000000003E-2</v>
      </c>
      <c r="Q10" s="35">
        <v>8.4571266230270403</v>
      </c>
      <c r="R10" s="12">
        <v>0.25736623738528847</v>
      </c>
      <c r="S10" s="10">
        <v>4.174596060991469</v>
      </c>
      <c r="T10" s="10">
        <v>0.21500095078198248</v>
      </c>
      <c r="U10" s="22">
        <v>1</v>
      </c>
      <c r="V10" s="10">
        <v>4</v>
      </c>
      <c r="W10" s="10">
        <v>0</v>
      </c>
      <c r="X10" s="40">
        <v>24.283596466715068</v>
      </c>
      <c r="Y10" s="39">
        <v>6.0708991166787669</v>
      </c>
      <c r="Z10" s="15">
        <v>0.51884400677682985</v>
      </c>
      <c r="AA10" s="10">
        <v>2.6841979769729547</v>
      </c>
      <c r="AB10" s="10">
        <v>2992.2630099999983</v>
      </c>
      <c r="AC10" s="43">
        <v>1.3989505554860967E-2</v>
      </c>
      <c r="AD10" s="43">
        <v>9.4431433865566992E-3</v>
      </c>
      <c r="AE10" s="44">
        <v>349.73763887152415</v>
      </c>
      <c r="AF10" s="10">
        <v>800</v>
      </c>
      <c r="AG10" s="10">
        <v>4432.8756099999982</v>
      </c>
      <c r="AH10" s="12">
        <v>9.4431433865566992E-3</v>
      </c>
      <c r="AI10" s="10">
        <v>1534.4603381014304</v>
      </c>
      <c r="AJ10" s="10">
        <v>1149.7376388715243</v>
      </c>
      <c r="AK10" s="5" t="s">
        <v>113</v>
      </c>
      <c r="AL10" s="5" t="s">
        <v>29</v>
      </c>
      <c r="AM10" s="4" t="s">
        <v>119</v>
      </c>
    </row>
    <row r="11" spans="1:39" x14ac:dyDescent="0.35">
      <c r="A11" s="5" t="s">
        <v>108</v>
      </c>
      <c r="B11" s="9" t="str">
        <f>VLOOKUP(D11,Auxiliar!A:C,2,0)</f>
        <v>MT FORT</v>
      </c>
      <c r="C11" s="5" t="str">
        <f>VLOOKUP(D11,Auxiliar!A:C,3,0)</f>
        <v>Luisa</v>
      </c>
      <c r="D11" s="9" t="s">
        <v>18</v>
      </c>
      <c r="E11" s="16">
        <v>0.45778417367192586</v>
      </c>
      <c r="F11" s="24">
        <v>11.3962</v>
      </c>
      <c r="G11" s="53">
        <v>16.160869999999999</v>
      </c>
      <c r="H11" s="10">
        <v>-4.7646699999999989</v>
      </c>
      <c r="I11" s="10">
        <v>10.399968481314833</v>
      </c>
      <c r="J11" s="10">
        <v>5.2170000000000014</v>
      </c>
      <c r="K11" s="10">
        <v>2.685305591677503</v>
      </c>
      <c r="L11" s="10">
        <v>0.84521388963732835</v>
      </c>
      <c r="M11" s="10">
        <v>1.6524490000000003</v>
      </c>
      <c r="N11" s="11">
        <v>0.09</v>
      </c>
      <c r="O11" s="12">
        <v>0.02</v>
      </c>
      <c r="P11" s="11">
        <v>3.5000000000000003E-2</v>
      </c>
      <c r="Q11" s="35">
        <v>-15.164638481314832</v>
      </c>
      <c r="R11" s="12">
        <v>3.182725872162151</v>
      </c>
      <c r="S11" s="10">
        <v>7.3981905187694164</v>
      </c>
      <c r="T11" s="10">
        <v>1.4180928730629507</v>
      </c>
      <c r="U11" s="22">
        <v>1</v>
      </c>
      <c r="V11" s="10">
        <v>7</v>
      </c>
      <c r="W11" s="10">
        <v>1.025658</v>
      </c>
      <c r="X11" s="40">
        <v>49.573526974856847</v>
      </c>
      <c r="Y11" s="39">
        <v>7.0819324249795494</v>
      </c>
      <c r="Z11" s="15">
        <v>0.60278417367192594</v>
      </c>
      <c r="AA11" s="10">
        <v>3.5305194813148315</v>
      </c>
      <c r="AB11" s="10">
        <v>2992.2630099999983</v>
      </c>
      <c r="AC11" s="43">
        <v>3.808555585493137E-3</v>
      </c>
      <c r="AD11" s="43">
        <v>2.5708368568456187E-3</v>
      </c>
      <c r="AE11" s="44">
        <v>95.213889637328421</v>
      </c>
      <c r="AF11" s="10">
        <v>750</v>
      </c>
      <c r="AG11" s="10">
        <v>4432.8756099999982</v>
      </c>
      <c r="AH11" s="12">
        <v>2.5708368568456187E-3</v>
      </c>
      <c r="AI11" s="10">
        <v>2685.3055916775029</v>
      </c>
      <c r="AJ11" s="10">
        <v>845.21388963732841</v>
      </c>
      <c r="AK11" s="5" t="s">
        <v>113</v>
      </c>
      <c r="AL11" s="5" t="s">
        <v>29</v>
      </c>
      <c r="AM11" s="4" t="s">
        <v>119</v>
      </c>
    </row>
    <row r="12" spans="1:39" x14ac:dyDescent="0.35">
      <c r="A12" s="5" t="s">
        <v>108</v>
      </c>
      <c r="B12" s="9" t="str">
        <f>VLOOKUP(D12,Auxiliar!A:C,2,0)</f>
        <v>MG Hiper Monlevade</v>
      </c>
      <c r="C12" s="5" t="str">
        <f>VLOOKUP(D12,Auxiliar!A:C,3,0)</f>
        <v>Luisa</v>
      </c>
      <c r="D12" s="9" t="s">
        <v>59</v>
      </c>
      <c r="E12" s="16">
        <v>0.49205803212294374</v>
      </c>
      <c r="F12" s="24">
        <v>0</v>
      </c>
      <c r="G12" s="53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1">
        <v>0</v>
      </c>
      <c r="O12" s="12">
        <v>0.02</v>
      </c>
      <c r="P12" s="11">
        <v>3.5000000000000003E-2</v>
      </c>
      <c r="Q12" s="35">
        <v>0</v>
      </c>
      <c r="R12" s="12">
        <v>0</v>
      </c>
      <c r="S12" s="10">
        <v>0</v>
      </c>
      <c r="T12" s="10">
        <v>0</v>
      </c>
      <c r="U12" s="22">
        <v>1</v>
      </c>
      <c r="V12" s="10">
        <v>0</v>
      </c>
      <c r="W12" s="10">
        <v>0</v>
      </c>
      <c r="X12" s="40">
        <v>0</v>
      </c>
      <c r="Y12" s="39">
        <v>0</v>
      </c>
      <c r="Z12" s="15">
        <v>0.54705803212294379</v>
      </c>
      <c r="AA12" s="10">
        <v>0</v>
      </c>
      <c r="AB12" s="10">
        <v>0</v>
      </c>
      <c r="AC12" s="43" t="e">
        <v>#DIV/0!</v>
      </c>
      <c r="AD12" s="43">
        <v>0</v>
      </c>
      <c r="AE12" s="44">
        <v>0</v>
      </c>
      <c r="AF12" s="10">
        <v>0</v>
      </c>
      <c r="AG12" s="10">
        <v>4432.8756099999982</v>
      </c>
      <c r="AH12" s="12">
        <v>0</v>
      </c>
      <c r="AI12" s="10">
        <v>0</v>
      </c>
      <c r="AJ12" s="10">
        <v>0</v>
      </c>
      <c r="AK12" s="5" t="s">
        <v>113</v>
      </c>
      <c r="AL12" s="5" t="s">
        <v>113</v>
      </c>
      <c r="AM12" s="4" t="s">
        <v>119</v>
      </c>
    </row>
    <row r="13" spans="1:39" x14ac:dyDescent="0.35">
      <c r="A13" s="5" t="s">
        <v>108</v>
      </c>
      <c r="B13" s="9" t="str">
        <f>VLOOKUP(D13,Auxiliar!A:C,2,0)</f>
        <v>SP INFANGER</v>
      </c>
      <c r="C13" s="5" t="str">
        <f>VLOOKUP(D13,Auxiliar!A:C,3,0)</f>
        <v>Julliano</v>
      </c>
      <c r="D13" s="9" t="s">
        <v>20</v>
      </c>
      <c r="E13" s="16">
        <v>0</v>
      </c>
      <c r="F13" s="24">
        <v>0</v>
      </c>
      <c r="G13" s="53">
        <v>0</v>
      </c>
      <c r="H13" s="10">
        <v>0</v>
      </c>
      <c r="I13" s="10">
        <v>1.1262045280250741</v>
      </c>
      <c r="J13" s="10">
        <v>0</v>
      </c>
      <c r="K13" s="10">
        <v>0.76723016905071517</v>
      </c>
      <c r="L13" s="10">
        <v>0.35897435897435898</v>
      </c>
      <c r="M13" s="10">
        <v>0</v>
      </c>
      <c r="N13" s="11">
        <v>0</v>
      </c>
      <c r="O13" s="12">
        <v>0.02</v>
      </c>
      <c r="P13" s="11">
        <v>3.5000000000000003E-2</v>
      </c>
      <c r="Q13" s="35">
        <v>-1.1262045280250741</v>
      </c>
      <c r="R13" s="12">
        <v>0</v>
      </c>
      <c r="S13" s="10">
        <v>0</v>
      </c>
      <c r="T13" s="10">
        <v>0</v>
      </c>
      <c r="U13" s="22">
        <v>1</v>
      </c>
      <c r="V13" s="10">
        <v>2</v>
      </c>
      <c r="W13" s="10">
        <v>0</v>
      </c>
      <c r="X13" s="40">
        <v>1.1917508233069567</v>
      </c>
      <c r="Y13" s="39">
        <v>0.59587541165347835</v>
      </c>
      <c r="Z13" s="15">
        <v>5.5000000000000007E-2</v>
      </c>
      <c r="AA13" s="10">
        <v>1.1262045280250741</v>
      </c>
      <c r="AB13" s="10">
        <v>180.08960000000002</v>
      </c>
      <c r="AC13" s="43">
        <v>0</v>
      </c>
      <c r="AD13" s="43">
        <v>0</v>
      </c>
      <c r="AE13" s="44">
        <v>0</v>
      </c>
      <c r="AF13" s="10">
        <v>358.97435897435895</v>
      </c>
      <c r="AG13" s="10">
        <v>4432.8756099999982</v>
      </c>
      <c r="AH13" s="12">
        <v>0</v>
      </c>
      <c r="AI13" s="10">
        <v>767.23016905071518</v>
      </c>
      <c r="AJ13" s="10">
        <v>358.97435897435895</v>
      </c>
      <c r="AK13" s="5" t="s">
        <v>130</v>
      </c>
      <c r="AL13" s="5" t="s">
        <v>130</v>
      </c>
      <c r="AM13" s="4" t="s">
        <v>119</v>
      </c>
    </row>
    <row r="14" spans="1:39" x14ac:dyDescent="0.35">
      <c r="A14" s="5" t="s">
        <v>108</v>
      </c>
      <c r="B14" s="9" t="str">
        <f>VLOOKUP(D14,Auxiliar!A:C,2,0)</f>
        <v>MT MERCADO CURIO</v>
      </c>
      <c r="C14" s="5" t="str">
        <f>VLOOKUP(D14,Auxiliar!A:C,3,0)</f>
        <v>Luisa</v>
      </c>
      <c r="D14" s="9" t="s">
        <v>61</v>
      </c>
      <c r="E14" s="16">
        <v>0</v>
      </c>
      <c r="F14" s="24">
        <v>0</v>
      </c>
      <c r="G14" s="53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1">
        <v>0</v>
      </c>
      <c r="O14" s="12">
        <v>0.02</v>
      </c>
      <c r="P14" s="11">
        <v>3.5000000000000003E-2</v>
      </c>
      <c r="Q14" s="35">
        <v>0</v>
      </c>
      <c r="R14" s="12">
        <v>0</v>
      </c>
      <c r="S14" s="10">
        <v>0</v>
      </c>
      <c r="T14" s="10">
        <v>0</v>
      </c>
      <c r="U14" s="22">
        <v>1</v>
      </c>
      <c r="V14" s="10">
        <v>0</v>
      </c>
      <c r="W14" s="10">
        <v>0</v>
      </c>
      <c r="X14" s="40">
        <v>0</v>
      </c>
      <c r="Y14" s="39">
        <v>0</v>
      </c>
      <c r="Z14" s="15">
        <v>5.5000000000000007E-2</v>
      </c>
      <c r="AA14" s="10">
        <v>0</v>
      </c>
      <c r="AB14" s="10">
        <v>0</v>
      </c>
      <c r="AC14" s="43" t="e">
        <v>#DIV/0!</v>
      </c>
      <c r="AD14" s="43">
        <v>0</v>
      </c>
      <c r="AE14" s="44">
        <v>0</v>
      </c>
      <c r="AF14" s="10">
        <v>0</v>
      </c>
      <c r="AG14" s="10">
        <v>4432.8756099999982</v>
      </c>
      <c r="AH14" s="12">
        <v>0</v>
      </c>
      <c r="AI14" s="10">
        <v>0</v>
      </c>
      <c r="AJ14" s="10">
        <v>0</v>
      </c>
      <c r="AK14" s="5" t="s">
        <v>113</v>
      </c>
      <c r="AL14" s="5" t="s">
        <v>113</v>
      </c>
      <c r="AM14" s="4" t="s">
        <v>119</v>
      </c>
    </row>
    <row r="15" spans="1:39" x14ac:dyDescent="0.35">
      <c r="A15" s="5" t="s">
        <v>108</v>
      </c>
      <c r="B15" s="9" t="str">
        <f>VLOOKUP(D15,Auxiliar!A:C,2,0)</f>
        <v>SC MONIARI</v>
      </c>
      <c r="C15" s="5" t="str">
        <f>VLOOKUP(D15,Auxiliar!A:C,3,0)</f>
        <v>Leandro</v>
      </c>
      <c r="D15" s="9" t="s">
        <v>62</v>
      </c>
      <c r="E15" s="16">
        <v>0</v>
      </c>
      <c r="F15" s="24">
        <v>0</v>
      </c>
      <c r="G15" s="53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1">
        <v>0.06</v>
      </c>
      <c r="O15" s="12">
        <v>0.02</v>
      </c>
      <c r="P15" s="11">
        <v>3.5000000000000003E-2</v>
      </c>
      <c r="Q15" s="35">
        <v>0</v>
      </c>
      <c r="R15" s="12">
        <v>0</v>
      </c>
      <c r="S15" s="10">
        <v>0</v>
      </c>
      <c r="T15" s="10">
        <v>0</v>
      </c>
      <c r="U15" s="22">
        <v>1</v>
      </c>
      <c r="V15" s="10">
        <v>0</v>
      </c>
      <c r="W15" s="10">
        <v>0</v>
      </c>
      <c r="X15" s="40">
        <v>0</v>
      </c>
      <c r="Y15" s="39">
        <v>0</v>
      </c>
      <c r="Z15" s="15">
        <v>0.115</v>
      </c>
      <c r="AA15" s="10">
        <v>0</v>
      </c>
      <c r="AB15" s="10">
        <v>0</v>
      </c>
      <c r="AC15" s="43" t="e">
        <v>#DIV/0!</v>
      </c>
      <c r="AD15" s="43">
        <v>0</v>
      </c>
      <c r="AE15" s="44">
        <v>0</v>
      </c>
      <c r="AF15" s="10">
        <v>0</v>
      </c>
      <c r="AG15" s="10">
        <v>4432.8756099999982</v>
      </c>
      <c r="AH15" s="12">
        <v>0</v>
      </c>
      <c r="AI15" s="10">
        <v>0</v>
      </c>
      <c r="AJ15" s="10">
        <v>0</v>
      </c>
      <c r="AK15" s="5" t="s">
        <v>113</v>
      </c>
      <c r="AL15" s="5" t="s">
        <v>113</v>
      </c>
      <c r="AM15" s="4" t="s">
        <v>119</v>
      </c>
    </row>
    <row r="16" spans="1:39" x14ac:dyDescent="0.35">
      <c r="A16" s="5" t="s">
        <v>108</v>
      </c>
      <c r="B16" s="9" t="str">
        <f>VLOOKUP(D16,Auxiliar!A:C,2,0)</f>
        <v>ES ORIUNDI</v>
      </c>
      <c r="C16" s="5" t="str">
        <f>VLOOKUP(D16,Auxiliar!A:C,3,0)</f>
        <v>Luisa</v>
      </c>
      <c r="D16" s="9" t="s">
        <v>58</v>
      </c>
      <c r="E16" s="16">
        <v>0</v>
      </c>
      <c r="F16" s="24">
        <v>0</v>
      </c>
      <c r="G16" s="53">
        <v>0</v>
      </c>
      <c r="H16" s="10">
        <v>0</v>
      </c>
      <c r="I16" s="10">
        <v>0.49261508452535757</v>
      </c>
      <c r="J16" s="10">
        <v>0</v>
      </c>
      <c r="K16" s="10">
        <v>0.38361508452535759</v>
      </c>
      <c r="L16" s="10">
        <v>0.109</v>
      </c>
      <c r="M16" s="10">
        <v>0</v>
      </c>
      <c r="N16" s="11">
        <v>0</v>
      </c>
      <c r="O16" s="12">
        <v>0.02</v>
      </c>
      <c r="P16" s="11">
        <v>3.5000000000000003E-2</v>
      </c>
      <c r="Q16" s="35">
        <v>-0.49261508452535757</v>
      </c>
      <c r="R16" s="12">
        <v>0</v>
      </c>
      <c r="S16" s="10">
        <v>0</v>
      </c>
      <c r="T16" s="10">
        <v>0</v>
      </c>
      <c r="U16" s="22">
        <v>1</v>
      </c>
      <c r="V16" s="10">
        <v>1</v>
      </c>
      <c r="W16" s="10">
        <v>0</v>
      </c>
      <c r="X16" s="40">
        <v>0.52128580373053712</v>
      </c>
      <c r="Y16" s="39">
        <v>0.52128580373053712</v>
      </c>
      <c r="Z16" s="15">
        <v>5.5000000000000007E-2</v>
      </c>
      <c r="AA16" s="10">
        <v>0.49261508452535757</v>
      </c>
      <c r="AB16" s="10">
        <v>0</v>
      </c>
      <c r="AC16" s="43" t="e">
        <v>#DIV/0!</v>
      </c>
      <c r="AD16" s="43">
        <v>0</v>
      </c>
      <c r="AE16" s="44">
        <v>0</v>
      </c>
      <c r="AF16" s="10">
        <v>109</v>
      </c>
      <c r="AG16" s="10">
        <v>4432.8756099999982</v>
      </c>
      <c r="AH16" s="12">
        <v>0</v>
      </c>
      <c r="AI16" s="10">
        <v>383.61508452535759</v>
      </c>
      <c r="AJ16" s="10">
        <v>109</v>
      </c>
      <c r="AK16" s="5" t="s">
        <v>113</v>
      </c>
      <c r="AL16" s="5" t="s">
        <v>113</v>
      </c>
      <c r="AM16" s="4" t="s">
        <v>119</v>
      </c>
    </row>
    <row r="17" spans="1:39" x14ac:dyDescent="0.35">
      <c r="A17" s="5" t="s">
        <v>108</v>
      </c>
      <c r="B17" s="9" t="str">
        <f>VLOOKUP(D17,Auxiliar!A:C,2,0)</f>
        <v>MG PANELÃO</v>
      </c>
      <c r="C17" s="5" t="str">
        <f>VLOOKUP(D17,Auxiliar!A:C,3,0)</f>
        <v>Luisa</v>
      </c>
      <c r="D17" s="9" t="s">
        <v>13</v>
      </c>
      <c r="E17" s="16">
        <v>0.52525821239841242</v>
      </c>
      <c r="F17" s="24">
        <v>0</v>
      </c>
      <c r="G17" s="53">
        <v>0</v>
      </c>
      <c r="H17" s="10">
        <v>0</v>
      </c>
      <c r="I17" s="10">
        <v>2.327075422626788</v>
      </c>
      <c r="J17" s="10">
        <v>0</v>
      </c>
      <c r="K17" s="10">
        <v>1.918075422626788</v>
      </c>
      <c r="L17" s="10">
        <v>0.40899999999999997</v>
      </c>
      <c r="M17" s="10">
        <v>0</v>
      </c>
      <c r="N17" s="11">
        <v>0</v>
      </c>
      <c r="O17" s="12">
        <v>0.02</v>
      </c>
      <c r="P17" s="11">
        <v>3.5000000000000003E-2</v>
      </c>
      <c r="Q17" s="35">
        <v>-2.327075422626788</v>
      </c>
      <c r="R17" s="12">
        <v>0</v>
      </c>
      <c r="S17" s="10">
        <v>0</v>
      </c>
      <c r="T17" s="10">
        <v>0</v>
      </c>
      <c r="U17" s="22">
        <v>1</v>
      </c>
      <c r="V17" s="10">
        <v>5</v>
      </c>
      <c r="W17" s="10">
        <v>0</v>
      </c>
      <c r="X17" s="40">
        <v>5.544064211294617</v>
      </c>
      <c r="Y17" s="39">
        <v>1.1088128422589234</v>
      </c>
      <c r="Z17" s="15">
        <v>0.58025821239841247</v>
      </c>
      <c r="AA17" s="10">
        <v>2.327075422626788</v>
      </c>
      <c r="AB17" s="10">
        <v>0</v>
      </c>
      <c r="AC17" s="43" t="e">
        <v>#DIV/0!</v>
      </c>
      <c r="AD17" s="43">
        <v>0</v>
      </c>
      <c r="AE17" s="44">
        <v>0</v>
      </c>
      <c r="AF17" s="10">
        <v>409</v>
      </c>
      <c r="AG17" s="10">
        <v>4432.8756099999982</v>
      </c>
      <c r="AH17" s="12">
        <v>0</v>
      </c>
      <c r="AI17" s="10">
        <v>1918.0754226267879</v>
      </c>
      <c r="AJ17" s="10">
        <v>409</v>
      </c>
      <c r="AK17" s="5" t="s">
        <v>113</v>
      </c>
      <c r="AL17" s="5" t="s">
        <v>113</v>
      </c>
      <c r="AM17" s="4" t="s">
        <v>119</v>
      </c>
    </row>
    <row r="18" spans="1:39" x14ac:dyDescent="0.35">
      <c r="A18" s="5" t="s">
        <v>108</v>
      </c>
      <c r="B18" s="9" t="str">
        <f>VLOOKUP(D18,Auxiliar!A:C,2,0)</f>
        <v>MG SUPER LUNA</v>
      </c>
      <c r="C18" s="5" t="str">
        <f>VLOOKUP(D18,Auxiliar!A:C,3,0)</f>
        <v>Luisa</v>
      </c>
      <c r="D18" s="9" t="s">
        <v>14</v>
      </c>
      <c r="E18" s="16">
        <v>0.45424536632268858</v>
      </c>
      <c r="F18" s="24">
        <v>18.346119999999999</v>
      </c>
      <c r="G18" s="53">
        <v>8.9794300000000007</v>
      </c>
      <c r="H18" s="10">
        <v>9.3666899999999984</v>
      </c>
      <c r="I18" s="10">
        <v>16.400772437462187</v>
      </c>
      <c r="J18" s="10">
        <v>8.3336400000000026</v>
      </c>
      <c r="K18" s="10">
        <v>4.2197659297789336</v>
      </c>
      <c r="L18" s="10">
        <v>2.2879463076832498</v>
      </c>
      <c r="M18" s="10">
        <v>1.5594202000000001</v>
      </c>
      <c r="N18" s="11">
        <v>0.03</v>
      </c>
      <c r="O18" s="12">
        <v>0.02</v>
      </c>
      <c r="P18" s="11">
        <v>3.5000000000000003E-2</v>
      </c>
      <c r="Q18" s="35">
        <v>-7.0340824374621889</v>
      </c>
      <c r="R18" s="12">
        <v>-0.75096778450682045</v>
      </c>
      <c r="S18" s="10">
        <v>4.0788644697189396</v>
      </c>
      <c r="T18" s="10">
        <v>0.48944572476360132</v>
      </c>
      <c r="U18" s="22">
        <v>1</v>
      </c>
      <c r="V18" s="10">
        <v>11</v>
      </c>
      <c r="W18" s="10">
        <v>0.55038359999999997</v>
      </c>
      <c r="X18" s="40">
        <v>33.612558844733343</v>
      </c>
      <c r="Y18" s="39">
        <v>3.0556871677030313</v>
      </c>
      <c r="Z18" s="15">
        <v>0.5392453663226886</v>
      </c>
      <c r="AA18" s="10">
        <v>6.507712237462183</v>
      </c>
      <c r="AB18" s="10">
        <v>2992.2630099999983</v>
      </c>
      <c r="AC18" s="43">
        <v>6.1311856406633218E-3</v>
      </c>
      <c r="AD18" s="43">
        <v>4.1386498548737771E-3</v>
      </c>
      <c r="AE18" s="44">
        <v>153.27964101658304</v>
      </c>
      <c r="AF18" s="10">
        <v>2134.666666666667</v>
      </c>
      <c r="AG18" s="10">
        <v>4432.8756099999982</v>
      </c>
      <c r="AH18" s="12">
        <v>4.1386498548737771E-3</v>
      </c>
      <c r="AI18" s="10">
        <v>4219.7659297789332</v>
      </c>
      <c r="AJ18" s="10">
        <v>2287.9463076832499</v>
      </c>
      <c r="AK18" s="5" t="s">
        <v>113</v>
      </c>
      <c r="AL18" s="5" t="s">
        <v>29</v>
      </c>
      <c r="AM18" s="4" t="s">
        <v>119</v>
      </c>
    </row>
    <row r="19" spans="1:39" x14ac:dyDescent="0.35">
      <c r="A19" s="5" t="s">
        <v>108</v>
      </c>
      <c r="B19" s="9" t="str">
        <f>VLOOKUP(D19,Auxiliar!A:C,2,0)</f>
        <v>MG SUPERMAXI</v>
      </c>
      <c r="C19" s="5" t="str">
        <f>VLOOKUP(D19,Auxiliar!A:C,3,0)</f>
        <v>Luisa</v>
      </c>
      <c r="D19" s="9" t="s">
        <v>15</v>
      </c>
      <c r="E19" s="16">
        <v>0</v>
      </c>
      <c r="F19" s="24">
        <v>0</v>
      </c>
      <c r="G19" s="53">
        <v>0</v>
      </c>
      <c r="H19" s="10">
        <v>0</v>
      </c>
      <c r="I19" s="10">
        <v>4.757535760728218</v>
      </c>
      <c r="J19" s="10">
        <v>0</v>
      </c>
      <c r="K19" s="10">
        <v>3.4525357607282183</v>
      </c>
      <c r="L19" s="10">
        <v>1.3049999999999999</v>
      </c>
      <c r="M19" s="10">
        <v>0</v>
      </c>
      <c r="N19" s="11">
        <v>6.5000000000000002E-2</v>
      </c>
      <c r="O19" s="12">
        <v>0.02</v>
      </c>
      <c r="P19" s="11">
        <v>3.5000000000000003E-2</v>
      </c>
      <c r="Q19" s="35">
        <v>-4.757535760728218</v>
      </c>
      <c r="R19" s="12">
        <v>0</v>
      </c>
      <c r="S19" s="10">
        <v>0</v>
      </c>
      <c r="T19" s="10">
        <v>0</v>
      </c>
      <c r="U19" s="22">
        <v>1</v>
      </c>
      <c r="V19" s="10">
        <v>9</v>
      </c>
      <c r="W19" s="10">
        <v>0</v>
      </c>
      <c r="X19" s="40">
        <v>5.406290637191157</v>
      </c>
      <c r="Y19" s="39">
        <v>0.60069895968790632</v>
      </c>
      <c r="Z19" s="15">
        <v>0.12000000000000001</v>
      </c>
      <c r="AA19" s="10">
        <v>4.757535760728218</v>
      </c>
      <c r="AB19" s="10">
        <v>2992.2630099999983</v>
      </c>
      <c r="AC19" s="43">
        <v>0</v>
      </c>
      <c r="AD19" s="43">
        <v>0</v>
      </c>
      <c r="AE19" s="44">
        <v>0</v>
      </c>
      <c r="AF19" s="10">
        <v>1305</v>
      </c>
      <c r="AG19" s="10">
        <v>4432.8756099999982</v>
      </c>
      <c r="AH19" s="12">
        <v>0</v>
      </c>
      <c r="AI19" s="10">
        <v>3452.5357607282185</v>
      </c>
      <c r="AJ19" s="10">
        <v>1305</v>
      </c>
      <c r="AK19" s="5" t="s">
        <v>113</v>
      </c>
      <c r="AL19" s="5" t="s">
        <v>29</v>
      </c>
      <c r="AM19" s="4" t="s">
        <v>119</v>
      </c>
    </row>
    <row r="20" spans="1:39" x14ac:dyDescent="0.35">
      <c r="A20" s="5" t="s">
        <v>108</v>
      </c>
      <c r="B20" s="9" t="str">
        <f>VLOOKUP(D20,Auxiliar!A:C,2,0)</f>
        <v>SP SuperVille</v>
      </c>
      <c r="C20" s="5" t="str">
        <f>VLOOKUP(D20,Auxiliar!A:C,3,0)</f>
        <v>Julliano</v>
      </c>
      <c r="D20" s="9" t="s">
        <v>21</v>
      </c>
      <c r="E20" s="16">
        <v>0.46646104256974547</v>
      </c>
      <c r="F20" s="24">
        <v>7.1976000000000004</v>
      </c>
      <c r="G20" s="53">
        <v>0</v>
      </c>
      <c r="H20" s="10">
        <v>7.1976000000000004</v>
      </c>
      <c r="I20" s="10">
        <v>5.7865002776307408</v>
      </c>
      <c r="J20" s="10">
        <v>3.3574000000000002</v>
      </c>
      <c r="K20" s="10">
        <v>0.76723016905071517</v>
      </c>
      <c r="L20" s="10">
        <v>1.2660021085800255</v>
      </c>
      <c r="M20" s="10">
        <v>0.39586800000000005</v>
      </c>
      <c r="N20" s="11">
        <v>0</v>
      </c>
      <c r="O20" s="12">
        <v>0.02</v>
      </c>
      <c r="P20" s="11">
        <v>3.5000000000000003E-2</v>
      </c>
      <c r="Q20" s="35">
        <v>1.4110997223692596</v>
      </c>
      <c r="R20" s="12">
        <v>0.19605142302562792</v>
      </c>
      <c r="S20" s="10">
        <v>0</v>
      </c>
      <c r="T20" s="10">
        <v>0</v>
      </c>
      <c r="U20" s="22">
        <v>1</v>
      </c>
      <c r="V20" s="10">
        <v>2</v>
      </c>
      <c r="W20" s="10">
        <v>0</v>
      </c>
      <c r="X20" s="40">
        <v>4.2488333416973214</v>
      </c>
      <c r="Y20" s="39">
        <v>2.1244166708486607</v>
      </c>
      <c r="Z20" s="15">
        <v>0.52146104256974546</v>
      </c>
      <c r="AA20" s="10">
        <v>2.0332322776307405</v>
      </c>
      <c r="AB20" s="10">
        <v>180.08960000000002</v>
      </c>
      <c r="AC20" s="43">
        <v>3.996677209566793E-2</v>
      </c>
      <c r="AD20" s="43">
        <v>1.623686435902496E-3</v>
      </c>
      <c r="AE20" s="44">
        <v>799.33544191335864</v>
      </c>
      <c r="AF20" s="10">
        <v>466.66666666666669</v>
      </c>
      <c r="AG20" s="10">
        <v>4432.8756099999982</v>
      </c>
      <c r="AH20" s="12">
        <v>1.623686435902496E-3</v>
      </c>
      <c r="AI20" s="10">
        <v>767.23016905071518</v>
      </c>
      <c r="AJ20" s="10">
        <v>1266.0021085800254</v>
      </c>
      <c r="AK20" s="5" t="s">
        <v>130</v>
      </c>
      <c r="AL20" s="5" t="s">
        <v>130</v>
      </c>
      <c r="AM20" s="4" t="s">
        <v>119</v>
      </c>
    </row>
    <row r="21" spans="1:39" x14ac:dyDescent="0.35">
      <c r="A21" s="5" t="s">
        <v>108</v>
      </c>
      <c r="B21" s="9" t="str">
        <f>VLOOKUP(D21,Auxiliar!A:C,2,0)</f>
        <v>MG VIA BAHIA</v>
      </c>
      <c r="C21" s="5" t="str">
        <f>VLOOKUP(D21,Auxiliar!A:C,3,0)</f>
        <v>Luisa</v>
      </c>
      <c r="D21" s="9" t="s">
        <v>16</v>
      </c>
      <c r="E21" s="16">
        <v>0</v>
      </c>
      <c r="F21" s="24">
        <v>0</v>
      </c>
      <c r="G21" s="53">
        <v>0</v>
      </c>
      <c r="H21" s="10">
        <v>0</v>
      </c>
      <c r="I21" s="10">
        <v>2.6180754226267879</v>
      </c>
      <c r="J21" s="10">
        <v>0</v>
      </c>
      <c r="K21" s="10">
        <v>1.918075422626788</v>
      </c>
      <c r="L21" s="10">
        <v>0.7</v>
      </c>
      <c r="M21" s="10">
        <v>0</v>
      </c>
      <c r="N21" s="11">
        <v>0</v>
      </c>
      <c r="O21" s="12">
        <v>0.02</v>
      </c>
      <c r="P21" s="11">
        <v>3.5000000000000003E-2</v>
      </c>
      <c r="Q21" s="35">
        <v>-2.6180754226267879</v>
      </c>
      <c r="R21" s="12">
        <v>0</v>
      </c>
      <c r="S21" s="10">
        <v>0</v>
      </c>
      <c r="T21" s="10">
        <v>0</v>
      </c>
      <c r="U21" s="22">
        <v>1</v>
      </c>
      <c r="V21" s="10">
        <v>5</v>
      </c>
      <c r="W21" s="10">
        <v>0</v>
      </c>
      <c r="X21" s="40">
        <v>2.7704501826738497</v>
      </c>
      <c r="Y21" s="39">
        <v>0.55409003653476996</v>
      </c>
      <c r="Z21" s="15">
        <v>5.5000000000000007E-2</v>
      </c>
      <c r="AA21" s="10">
        <v>2.6180754226267879</v>
      </c>
      <c r="AB21" s="10">
        <v>0</v>
      </c>
      <c r="AC21" s="43" t="e">
        <v>#DIV/0!</v>
      </c>
      <c r="AD21" s="43">
        <v>0</v>
      </c>
      <c r="AE21" s="44">
        <v>0</v>
      </c>
      <c r="AF21" s="10">
        <v>700</v>
      </c>
      <c r="AG21" s="10">
        <v>4432.8756099999982</v>
      </c>
      <c r="AH21" s="12">
        <v>0</v>
      </c>
      <c r="AI21" s="10">
        <v>1918.0754226267879</v>
      </c>
      <c r="AJ21" s="10">
        <v>700</v>
      </c>
      <c r="AK21" s="5" t="s">
        <v>113</v>
      </c>
      <c r="AL21" s="5" t="s">
        <v>113</v>
      </c>
      <c r="AM21" s="4" t="s">
        <v>119</v>
      </c>
    </row>
    <row r="22" spans="1:39" x14ac:dyDescent="0.35">
      <c r="A22" s="5" t="s">
        <v>108</v>
      </c>
      <c r="B22" s="9" t="str">
        <f>VLOOKUP(D22,Auxiliar!A:C,2,0)</f>
        <v>SC ANGELONI</v>
      </c>
      <c r="C22" s="5" t="str">
        <f>VLOOKUP(D22,Auxiliar!A:C,3,0)</f>
        <v>Leandro</v>
      </c>
      <c r="D22" s="9" t="s">
        <v>23</v>
      </c>
      <c r="E22" s="16">
        <v>0.49783613427627521</v>
      </c>
      <c r="F22" s="24">
        <v>118.35299999999999</v>
      </c>
      <c r="G22" s="53">
        <v>61.553129999999996</v>
      </c>
      <c r="H22" s="10">
        <v>56.799869999999999</v>
      </c>
      <c r="I22" s="10">
        <v>103.021174548866</v>
      </c>
      <c r="J22" s="10">
        <v>58.920400000000001</v>
      </c>
      <c r="K22" s="10">
        <v>11.124837451235368</v>
      </c>
      <c r="L22" s="10">
        <v>13.447692097630632</v>
      </c>
      <c r="M22" s="10">
        <v>19.528244999999998</v>
      </c>
      <c r="N22" s="11">
        <v>0.11</v>
      </c>
      <c r="O22" s="12">
        <v>0.02</v>
      </c>
      <c r="P22" s="11">
        <v>3.5000000000000003E-2</v>
      </c>
      <c r="Q22" s="35">
        <v>-46.221304548866001</v>
      </c>
      <c r="R22" s="12">
        <v>-0.81375722424833019</v>
      </c>
      <c r="S22" s="10">
        <v>30.643372291805022</v>
      </c>
      <c r="T22" s="10">
        <v>0.52008085980076546</v>
      </c>
      <c r="U22" s="22">
        <v>1</v>
      </c>
      <c r="V22" s="10">
        <v>29</v>
      </c>
      <c r="W22" s="10">
        <v>13.018829999999999</v>
      </c>
      <c r="X22" s="40">
        <v>255.44154728442388</v>
      </c>
      <c r="Y22" s="39">
        <v>8.808329216704271</v>
      </c>
      <c r="Z22" s="15">
        <v>0.66283613427627519</v>
      </c>
      <c r="AA22" s="10">
        <v>24.572529548866001</v>
      </c>
      <c r="AB22" s="10">
        <v>1216.4010000000001</v>
      </c>
      <c r="AC22" s="43">
        <v>9.7297683905225321E-2</v>
      </c>
      <c r="AD22" s="43">
        <v>2.6698921966817842E-2</v>
      </c>
      <c r="AE22" s="44">
        <v>2432.4420976306328</v>
      </c>
      <c r="AF22" s="10">
        <v>11015.25</v>
      </c>
      <c r="AG22" s="10">
        <v>4432.8756099999982</v>
      </c>
      <c r="AH22" s="12">
        <v>2.6698921966817842E-2</v>
      </c>
      <c r="AI22" s="10">
        <v>11124.837451235369</v>
      </c>
      <c r="AJ22" s="10">
        <v>13447.692097630632</v>
      </c>
      <c r="AK22" s="5" t="s">
        <v>22</v>
      </c>
      <c r="AL22" s="5" t="s">
        <v>22</v>
      </c>
      <c r="AM22" s="4" t="s">
        <v>119</v>
      </c>
    </row>
    <row r="23" spans="1:39" x14ac:dyDescent="0.35">
      <c r="A23" s="5" t="s">
        <v>108</v>
      </c>
      <c r="B23" s="9" t="str">
        <f>VLOOKUP(D23,Auxiliar!A:C,2,0)</f>
        <v>SC BISTEK</v>
      </c>
      <c r="C23" s="5" t="str">
        <f>VLOOKUP(D23,Auxiliar!A:C,3,0)</f>
        <v>Leandro</v>
      </c>
      <c r="D23" s="9" t="s">
        <v>25</v>
      </c>
      <c r="E23" s="16">
        <v>0</v>
      </c>
      <c r="F23" s="24">
        <v>0</v>
      </c>
      <c r="G23" s="53">
        <v>0</v>
      </c>
      <c r="H23" s="10">
        <v>0</v>
      </c>
      <c r="I23" s="10">
        <v>13.399531859557868</v>
      </c>
      <c r="J23" s="10">
        <v>0</v>
      </c>
      <c r="K23" s="10">
        <v>8.4395318595578672</v>
      </c>
      <c r="L23" s="10">
        <v>4.96</v>
      </c>
      <c r="M23" s="10">
        <v>0</v>
      </c>
      <c r="N23" s="11">
        <v>6.5000000000000002E-2</v>
      </c>
      <c r="O23" s="12">
        <v>0.02</v>
      </c>
      <c r="P23" s="11">
        <v>3.5000000000000003E-2</v>
      </c>
      <c r="Q23" s="35">
        <v>-13.399531859557868</v>
      </c>
      <c r="R23" s="12">
        <v>0</v>
      </c>
      <c r="S23" s="10">
        <v>0</v>
      </c>
      <c r="T23" s="10">
        <v>0</v>
      </c>
      <c r="U23" s="22">
        <v>1</v>
      </c>
      <c r="V23" s="10">
        <v>22</v>
      </c>
      <c r="W23" s="10">
        <v>0</v>
      </c>
      <c r="X23" s="40">
        <v>15.226740749497578</v>
      </c>
      <c r="Y23" s="39">
        <v>0.69212457952261719</v>
      </c>
      <c r="Z23" s="15">
        <v>0.12000000000000001</v>
      </c>
      <c r="AA23" s="10">
        <v>13.399531859557868</v>
      </c>
      <c r="AB23" s="10">
        <v>1216.4010000000001</v>
      </c>
      <c r="AC23" s="43">
        <v>0</v>
      </c>
      <c r="AD23" s="43">
        <v>0</v>
      </c>
      <c r="AE23" s="44">
        <v>0</v>
      </c>
      <c r="AF23" s="10">
        <v>4960</v>
      </c>
      <c r="AG23" s="10">
        <v>4432.8756099999982</v>
      </c>
      <c r="AH23" s="12">
        <v>0</v>
      </c>
      <c r="AI23" s="10">
        <v>8439.5318595578665</v>
      </c>
      <c r="AJ23" s="10">
        <v>4960</v>
      </c>
      <c r="AK23" s="5" t="s">
        <v>22</v>
      </c>
      <c r="AL23" s="5" t="s">
        <v>22</v>
      </c>
      <c r="AM23" s="4" t="s">
        <v>119</v>
      </c>
    </row>
    <row r="24" spans="1:39" x14ac:dyDescent="0.35">
      <c r="A24" s="5" t="s">
        <v>108</v>
      </c>
      <c r="B24" s="9" t="str">
        <f>VLOOKUP(D24,Auxiliar!A:C,2,0)</f>
        <v>PR FESTVAL</v>
      </c>
      <c r="C24" s="5" t="str">
        <f>VLOOKUP(D24,Auxiliar!A:C,3,0)</f>
        <v>Leandro</v>
      </c>
      <c r="D24" s="9" t="s">
        <v>45</v>
      </c>
      <c r="E24" s="16">
        <v>0.4048891288801475</v>
      </c>
      <c r="F24" s="24">
        <v>468.16520000000003</v>
      </c>
      <c r="G24" s="53">
        <v>37.83334</v>
      </c>
      <c r="H24" s="10">
        <v>430.33186000000001</v>
      </c>
      <c r="I24" s="10">
        <v>291.70002719397223</v>
      </c>
      <c r="J24" s="10">
        <v>189.55500000000004</v>
      </c>
      <c r="K24" s="10">
        <v>13.042912873862159</v>
      </c>
      <c r="L24" s="10">
        <v>30.581464320110019</v>
      </c>
      <c r="M24" s="10">
        <v>58.520650000000003</v>
      </c>
      <c r="N24" s="11">
        <v>7.0000000000000007E-2</v>
      </c>
      <c r="O24" s="12">
        <v>0.02</v>
      </c>
      <c r="P24" s="11">
        <v>3.5000000000000003E-2</v>
      </c>
      <c r="Q24" s="35">
        <v>138.63183280602777</v>
      </c>
      <c r="R24" s="12">
        <v>0.32215098553480975</v>
      </c>
      <c r="S24" s="10">
        <v>15.31830807522644</v>
      </c>
      <c r="T24" s="10">
        <v>8.0811944159882021E-2</v>
      </c>
      <c r="U24" s="22">
        <v>1</v>
      </c>
      <c r="V24" s="10">
        <v>34</v>
      </c>
      <c r="W24" s="10">
        <v>32.771564000000005</v>
      </c>
      <c r="X24" s="40">
        <v>173.27341739605279</v>
      </c>
      <c r="Y24" s="39">
        <v>5.096276982236847</v>
      </c>
      <c r="Z24" s="15">
        <v>0.5298891288801475</v>
      </c>
      <c r="AA24" s="10">
        <v>43.62437719397218</v>
      </c>
      <c r="AB24" s="10">
        <v>2992.2630099999983</v>
      </c>
      <c r="AC24" s="43">
        <v>0.15645857280440073</v>
      </c>
      <c r="AD24" s="43">
        <v>0.10561207694253352</v>
      </c>
      <c r="AE24" s="44">
        <v>3911.4643201100184</v>
      </c>
      <c r="AF24" s="10">
        <v>26670</v>
      </c>
      <c r="AG24" s="10">
        <v>4432.8756099999982</v>
      </c>
      <c r="AH24" s="12">
        <v>0.10561207694253352</v>
      </c>
      <c r="AI24" s="10">
        <v>13042.912873862158</v>
      </c>
      <c r="AJ24" s="10">
        <v>30581.464320110019</v>
      </c>
      <c r="AK24" s="5" t="s">
        <v>22</v>
      </c>
      <c r="AL24" s="5" t="s">
        <v>29</v>
      </c>
      <c r="AM24" s="4" t="s">
        <v>119</v>
      </c>
    </row>
    <row r="25" spans="1:39" x14ac:dyDescent="0.35">
      <c r="A25" s="5" t="s">
        <v>108</v>
      </c>
      <c r="B25" s="9" t="str">
        <f>VLOOKUP(D25,Auxiliar!A:C,2,0)</f>
        <v>SC FORT</v>
      </c>
      <c r="C25" s="5" t="str">
        <f>VLOOKUP(D25,Auxiliar!A:C,3,0)</f>
        <v>Leandro</v>
      </c>
      <c r="D25" s="9" t="s">
        <v>26</v>
      </c>
      <c r="E25" s="16">
        <v>0.4888877904102818</v>
      </c>
      <c r="F25" s="24">
        <v>80.92</v>
      </c>
      <c r="G25" s="53">
        <v>43.525030000000001</v>
      </c>
      <c r="H25" s="10">
        <v>37.394970000000001</v>
      </c>
      <c r="I25" s="10">
        <v>67.28406490340069</v>
      </c>
      <c r="J25" s="10">
        <v>39.5608</v>
      </c>
      <c r="K25" s="10">
        <v>9.2067620286085816</v>
      </c>
      <c r="L25" s="10">
        <v>6.783102874792112</v>
      </c>
      <c r="M25" s="10">
        <v>11.733400000000001</v>
      </c>
      <c r="N25" s="11">
        <v>0.09</v>
      </c>
      <c r="O25" s="12">
        <v>0.02</v>
      </c>
      <c r="P25" s="11">
        <v>3.5000000000000003E-2</v>
      </c>
      <c r="Q25" s="35">
        <v>-29.889094903400689</v>
      </c>
      <c r="R25" s="12">
        <v>-0.79928115742306216</v>
      </c>
      <c r="S25" s="10">
        <v>21.278855744241227</v>
      </c>
      <c r="T25" s="10">
        <v>0.53787728620860109</v>
      </c>
      <c r="U25" s="22">
        <v>1</v>
      </c>
      <c r="V25" s="10">
        <v>24</v>
      </c>
      <c r="W25" s="10">
        <v>7.2827999999999999</v>
      </c>
      <c r="X25" s="40">
        <v>162.55916449794381</v>
      </c>
      <c r="Y25" s="39">
        <v>6.7732985207476588</v>
      </c>
      <c r="Z25" s="15">
        <v>0.63388779041028176</v>
      </c>
      <c r="AA25" s="10">
        <v>15.989864903400694</v>
      </c>
      <c r="AB25" s="10">
        <v>1216.4010000000001</v>
      </c>
      <c r="AC25" s="43">
        <v>6.652411499168448E-2</v>
      </c>
      <c r="AD25" s="43">
        <v>1.8254516282264918E-2</v>
      </c>
      <c r="AE25" s="44">
        <v>1663.1028747921121</v>
      </c>
      <c r="AF25" s="10">
        <v>5120</v>
      </c>
      <c r="AG25" s="10">
        <v>4432.8756099999982</v>
      </c>
      <c r="AH25" s="12">
        <v>1.8254516282264918E-2</v>
      </c>
      <c r="AI25" s="10">
        <v>9206.7620286085821</v>
      </c>
      <c r="AJ25" s="10">
        <v>6783.1028747921118</v>
      </c>
      <c r="AK25" s="5" t="s">
        <v>22</v>
      </c>
      <c r="AL25" s="5" t="s">
        <v>22</v>
      </c>
      <c r="AM25" s="4" t="s">
        <v>119</v>
      </c>
    </row>
    <row r="26" spans="1:39" x14ac:dyDescent="0.35">
      <c r="A26" s="5" t="s">
        <v>108</v>
      </c>
      <c r="B26" s="9" t="str">
        <f>VLOOKUP(D26,Auxiliar!A:C,2,0)</f>
        <v>SC HIPERBOM / HIPERSELECT</v>
      </c>
      <c r="C26" s="5" t="str">
        <f>VLOOKUP(D26,Auxiliar!A:C,3,0)</f>
        <v>Leandro</v>
      </c>
      <c r="D26" s="9" t="s">
        <v>27</v>
      </c>
      <c r="E26" s="16">
        <v>0</v>
      </c>
      <c r="F26" s="24">
        <v>0</v>
      </c>
      <c r="G26" s="53">
        <v>0</v>
      </c>
      <c r="H26" s="10">
        <v>0</v>
      </c>
      <c r="I26" s="10">
        <v>5.6361508452535762</v>
      </c>
      <c r="J26" s="10">
        <v>0</v>
      </c>
      <c r="K26" s="10">
        <v>3.836150845253576</v>
      </c>
      <c r="L26" s="10">
        <v>1.8</v>
      </c>
      <c r="M26" s="10">
        <v>0</v>
      </c>
      <c r="N26" s="11">
        <v>0.05</v>
      </c>
      <c r="O26" s="12">
        <v>0.02</v>
      </c>
      <c r="P26" s="11">
        <v>3.5000000000000003E-2</v>
      </c>
      <c r="Q26" s="35">
        <v>-5.6361508452535762</v>
      </c>
      <c r="R26" s="12">
        <v>0</v>
      </c>
      <c r="S26" s="10">
        <v>0</v>
      </c>
      <c r="T26" s="10">
        <v>0</v>
      </c>
      <c r="U26" s="22">
        <v>1</v>
      </c>
      <c r="V26" s="10">
        <v>10</v>
      </c>
      <c r="W26" s="10">
        <v>0</v>
      </c>
      <c r="X26" s="40">
        <v>6.297375246093381</v>
      </c>
      <c r="Y26" s="39">
        <v>0.62973752460933807</v>
      </c>
      <c r="Z26" s="15">
        <v>0.10500000000000001</v>
      </c>
      <c r="AA26" s="10">
        <v>5.6361508452535762</v>
      </c>
      <c r="AB26" s="10">
        <v>1216.4010000000001</v>
      </c>
      <c r="AC26" s="43">
        <v>0</v>
      </c>
      <c r="AD26" s="43">
        <v>0</v>
      </c>
      <c r="AE26" s="44">
        <v>0</v>
      </c>
      <c r="AF26" s="10">
        <v>1800</v>
      </c>
      <c r="AG26" s="10">
        <v>4432.8756099999982</v>
      </c>
      <c r="AH26" s="12">
        <v>0</v>
      </c>
      <c r="AI26" s="10">
        <v>3836.1508452535759</v>
      </c>
      <c r="AJ26" s="10">
        <v>1800</v>
      </c>
      <c r="AK26" s="5" t="s">
        <v>22</v>
      </c>
      <c r="AL26" s="5" t="s">
        <v>22</v>
      </c>
      <c r="AM26" s="4" t="s">
        <v>119</v>
      </c>
    </row>
    <row r="27" spans="1:39" x14ac:dyDescent="0.35">
      <c r="A27" s="5" t="s">
        <v>108</v>
      </c>
      <c r="B27" s="9" t="str">
        <f>VLOOKUP(D27,Auxiliar!A:C,2,0)</f>
        <v>SC IMPERATRIZ</v>
      </c>
      <c r="C27" s="5" t="str">
        <f>VLOOKUP(D27,Auxiliar!A:C,3,0)</f>
        <v>Leandro</v>
      </c>
      <c r="D27" s="9" t="s">
        <v>28</v>
      </c>
      <c r="E27" s="16">
        <v>0.53808800253244704</v>
      </c>
      <c r="F27" s="24">
        <v>126.35999999999999</v>
      </c>
      <c r="G27" s="53">
        <v>0</v>
      </c>
      <c r="H27" s="10">
        <v>126.35999999999999</v>
      </c>
      <c r="I27" s="10">
        <v>96.839876949765028</v>
      </c>
      <c r="J27" s="10">
        <v>67.992800000000003</v>
      </c>
      <c r="K27" s="10">
        <v>6.9050715214564367</v>
      </c>
      <c r="L27" s="10">
        <v>6.1470054283085922</v>
      </c>
      <c r="M27" s="10">
        <v>15.794999999999998</v>
      </c>
      <c r="N27" s="11">
        <v>7.0000000000000007E-2</v>
      </c>
      <c r="O27" s="12">
        <v>0.02</v>
      </c>
      <c r="P27" s="11">
        <v>3.5000000000000003E-2</v>
      </c>
      <c r="Q27" s="35">
        <v>29.520123050234957</v>
      </c>
      <c r="R27" s="12">
        <v>0.23361920742509465</v>
      </c>
      <c r="S27" s="10">
        <v>0</v>
      </c>
      <c r="T27" s="10">
        <v>0</v>
      </c>
      <c r="U27" s="22">
        <v>1</v>
      </c>
      <c r="V27" s="10">
        <v>18</v>
      </c>
      <c r="W27" s="10">
        <v>8.8452000000000002</v>
      </c>
      <c r="X27" s="40">
        <v>38.740315120484951</v>
      </c>
      <c r="Y27" s="39">
        <v>2.1522397289158306</v>
      </c>
      <c r="Z27" s="15">
        <v>0.66308800253244704</v>
      </c>
      <c r="AA27" s="10">
        <v>13.052076949765029</v>
      </c>
      <c r="AB27" s="10">
        <v>1216.4010000000001</v>
      </c>
      <c r="AC27" s="43">
        <v>0.10388021713234367</v>
      </c>
      <c r="AD27" s="43">
        <v>2.8505198682983131E-2</v>
      </c>
      <c r="AE27" s="44">
        <v>2597.0054283085919</v>
      </c>
      <c r="AF27" s="10">
        <v>3550</v>
      </c>
      <c r="AG27" s="10">
        <v>4432.8756099999982</v>
      </c>
      <c r="AH27" s="12">
        <v>2.8505198682983131E-2</v>
      </c>
      <c r="AI27" s="10">
        <v>6905.071521456437</v>
      </c>
      <c r="AJ27" s="10">
        <v>6147.0054283085919</v>
      </c>
      <c r="AK27" s="5" t="s">
        <v>22</v>
      </c>
      <c r="AL27" s="5" t="s">
        <v>22</v>
      </c>
      <c r="AM27" s="4" t="s">
        <v>119</v>
      </c>
    </row>
    <row r="28" spans="1:39" x14ac:dyDescent="0.35">
      <c r="A28" s="5" t="s">
        <v>108</v>
      </c>
      <c r="B28" s="9" t="str">
        <f>VLOOKUP(D28,Auxiliar!A:C,2,0)</f>
        <v>RS ZAFFARI</v>
      </c>
      <c r="C28" s="5" t="str">
        <f>VLOOKUP(D28,Auxiliar!A:C,3,0)</f>
        <v>Leandro</v>
      </c>
      <c r="D28" s="9" t="s">
        <v>24</v>
      </c>
      <c r="E28" s="16">
        <v>0.53811735207387923</v>
      </c>
      <c r="F28" s="24">
        <v>890.76800000000003</v>
      </c>
      <c r="G28" s="53">
        <v>88.715000000000003</v>
      </c>
      <c r="H28" s="10">
        <v>802.053</v>
      </c>
      <c r="I28" s="10">
        <v>668.32265960717473</v>
      </c>
      <c r="J28" s="10">
        <v>479.33771747214524</v>
      </c>
      <c r="K28" s="10">
        <v>11.508452535760727</v>
      </c>
      <c r="L28" s="10">
        <v>39.407449599268666</v>
      </c>
      <c r="M28" s="10">
        <v>138.06904000000003</v>
      </c>
      <c r="N28" s="11">
        <v>0.1</v>
      </c>
      <c r="O28" s="12">
        <v>0.02</v>
      </c>
      <c r="P28" s="11">
        <v>3.5000000000000003E-2</v>
      </c>
      <c r="Q28" s="35">
        <v>133.73034039282527</v>
      </c>
      <c r="R28" s="12">
        <v>0.16673504169029388</v>
      </c>
      <c r="S28" s="10">
        <v>47.739080889234195</v>
      </c>
      <c r="T28" s="10">
        <v>9.9593833635694143E-2</v>
      </c>
      <c r="U28" s="22">
        <v>1</v>
      </c>
      <c r="V28" s="10">
        <v>30</v>
      </c>
      <c r="W28" s="10">
        <v>89.076800000000006</v>
      </c>
      <c r="X28" s="40">
        <v>454.99771029297261</v>
      </c>
      <c r="Y28" s="39">
        <v>15.166590343099086</v>
      </c>
      <c r="Z28" s="15">
        <v>0.69311735207387926</v>
      </c>
      <c r="AA28" s="10">
        <v>50.915902135029391</v>
      </c>
      <c r="AB28" s="10">
        <v>1216.4010000000001</v>
      </c>
      <c r="AC28" s="43">
        <v>0.73229798397074652</v>
      </c>
      <c r="AD28" s="43">
        <v>0.20094585961098069</v>
      </c>
      <c r="AE28" s="44">
        <v>18307.449599268664</v>
      </c>
      <c r="AF28" s="10">
        <v>21100</v>
      </c>
      <c r="AG28" s="10">
        <v>4432.8756099999982</v>
      </c>
      <c r="AH28" s="12">
        <v>0.20094585961098069</v>
      </c>
      <c r="AI28" s="10">
        <v>11508.452535760727</v>
      </c>
      <c r="AJ28" s="10">
        <v>39407.449599268664</v>
      </c>
      <c r="AK28" s="5" t="s">
        <v>22</v>
      </c>
      <c r="AL28" s="5" t="s">
        <v>22</v>
      </c>
      <c r="AM28" s="4" t="s">
        <v>119</v>
      </c>
    </row>
    <row r="29" spans="1:39" x14ac:dyDescent="0.35">
      <c r="A29" s="5" t="s">
        <v>108</v>
      </c>
      <c r="B29" s="9" t="str">
        <f>VLOOKUP(D29,Auxiliar!A:C,2,0)</f>
        <v>SP DUFRY</v>
      </c>
      <c r="C29" s="5" t="str">
        <f>VLOOKUP(D29,Auxiliar!A:C,3,0)</f>
        <v>Luisa</v>
      </c>
      <c r="D29" s="9" t="s">
        <v>65</v>
      </c>
      <c r="E29" s="16">
        <v>0.55127147454784475</v>
      </c>
      <c r="F29" s="24">
        <v>44.122</v>
      </c>
      <c r="G29" s="53">
        <v>0</v>
      </c>
      <c r="H29" s="10">
        <v>44.122</v>
      </c>
      <c r="I29" s="10">
        <v>31.749910000000007</v>
      </c>
      <c r="J29" s="10">
        <v>24.323200000000007</v>
      </c>
      <c r="K29" s="10">
        <v>5</v>
      </c>
      <c r="L29" s="10">
        <v>0</v>
      </c>
      <c r="M29" s="10">
        <v>2.4267100000000004</v>
      </c>
      <c r="N29" s="11">
        <v>0</v>
      </c>
      <c r="O29" s="12">
        <v>0.02</v>
      </c>
      <c r="P29" s="11">
        <v>3.5000000000000003E-2</v>
      </c>
      <c r="Q29" s="35">
        <v>12.372089999999993</v>
      </c>
      <c r="R29" s="12">
        <v>0.2804063732378404</v>
      </c>
      <c r="S29" s="10">
        <v>0</v>
      </c>
      <c r="T29" s="10">
        <v>0</v>
      </c>
      <c r="U29" s="22">
        <v>1</v>
      </c>
      <c r="V29" s="10">
        <v>0</v>
      </c>
      <c r="W29" s="10">
        <v>0</v>
      </c>
      <c r="X29" s="40">
        <v>12.699105289000926</v>
      </c>
      <c r="Y29" s="39">
        <v>12.699105289000926</v>
      </c>
      <c r="Z29" s="15">
        <v>0.6062714745478448</v>
      </c>
      <c r="AA29" s="10">
        <v>5</v>
      </c>
      <c r="AB29" s="10">
        <v>44.122</v>
      </c>
      <c r="AC29" s="43">
        <v>1</v>
      </c>
      <c r="AD29" s="43">
        <v>9.9533584701692133E-3</v>
      </c>
      <c r="AE29" s="44">
        <v>0</v>
      </c>
      <c r="AF29" s="10">
        <v>0</v>
      </c>
      <c r="AG29" s="10">
        <v>4432.8756099999982</v>
      </c>
      <c r="AH29" s="12">
        <v>9.9533584701692133E-3</v>
      </c>
      <c r="AI29" s="10">
        <v>0</v>
      </c>
      <c r="AJ29" s="10">
        <v>0</v>
      </c>
      <c r="AK29" s="5" t="s">
        <v>113</v>
      </c>
      <c r="AL29" s="5" t="s">
        <v>55</v>
      </c>
      <c r="AM29" s="4" t="s">
        <v>119</v>
      </c>
    </row>
    <row r="30" spans="1:39" x14ac:dyDescent="0.35">
      <c r="A30" s="5" t="s">
        <v>108</v>
      </c>
      <c r="B30" s="9" t="str">
        <f>VLOOKUP(D30,Auxiliar!A:C,2,0)</f>
        <v>DF ASSAI</v>
      </c>
      <c r="C30" s="5" t="str">
        <f>VLOOKUP(D30,Auxiliar!A:C,3,0)</f>
        <v>Luiz</v>
      </c>
      <c r="D30" s="9" t="s">
        <v>30</v>
      </c>
      <c r="E30" s="16">
        <v>0.47220089144116334</v>
      </c>
      <c r="F30" s="24">
        <v>105.42927999999996</v>
      </c>
      <c r="G30" s="53">
        <v>5.29</v>
      </c>
      <c r="H30" s="10">
        <v>100.13927999999996</v>
      </c>
      <c r="I30" s="10">
        <v>60.824254096121656</v>
      </c>
      <c r="J30" s="10">
        <v>49.783799999999992</v>
      </c>
      <c r="K30" s="10">
        <v>1.5344603381014303</v>
      </c>
      <c r="L30" s="10">
        <v>1.5987977580202324</v>
      </c>
      <c r="M30" s="10">
        <v>7.9071959999999981</v>
      </c>
      <c r="N30" s="11">
        <v>0.02</v>
      </c>
      <c r="O30" s="12">
        <v>0.02</v>
      </c>
      <c r="P30" s="11">
        <v>3.5000000000000003E-2</v>
      </c>
      <c r="Q30" s="35">
        <v>39.315025903878301</v>
      </c>
      <c r="R30" s="12">
        <v>0.39260344096620542</v>
      </c>
      <c r="S30" s="10">
        <v>2.4979427157237541</v>
      </c>
      <c r="T30" s="10">
        <v>5.0175814536531048E-2</v>
      </c>
      <c r="U30" s="22">
        <v>1</v>
      </c>
      <c r="V30" s="10">
        <v>4</v>
      </c>
      <c r="W30" s="10">
        <v>2.1085855999999992</v>
      </c>
      <c r="X30" s="40">
        <v>18.602638425970191</v>
      </c>
      <c r="Y30" s="39">
        <v>4.6506596064925478</v>
      </c>
      <c r="Z30" s="15">
        <v>0.54720089144116335</v>
      </c>
      <c r="AA30" s="10">
        <v>3.1332580961216627</v>
      </c>
      <c r="AB30" s="10">
        <v>2992.2630099999983</v>
      </c>
      <c r="AC30" s="43">
        <v>3.5233961602860582E-2</v>
      </c>
      <c r="AD30" s="43">
        <v>2.3783496149128353E-2</v>
      </c>
      <c r="AE30" s="44">
        <v>880.84904007151454</v>
      </c>
      <c r="AF30" s="10">
        <v>717.9487179487179</v>
      </c>
      <c r="AG30" s="10">
        <v>4432.8756099999982</v>
      </c>
      <c r="AH30" s="12">
        <v>2.3783496149128353E-2</v>
      </c>
      <c r="AI30" s="10">
        <v>1534.4603381014304</v>
      </c>
      <c r="AJ30" s="10">
        <v>1598.7977580202323</v>
      </c>
      <c r="AK30" s="5" t="s">
        <v>29</v>
      </c>
      <c r="AL30" s="5" t="s">
        <v>29</v>
      </c>
      <c r="AM30" s="4" t="s">
        <v>119</v>
      </c>
    </row>
    <row r="31" spans="1:39" x14ac:dyDescent="0.35">
      <c r="A31" s="5" t="s">
        <v>108</v>
      </c>
      <c r="B31" s="9" t="str">
        <f>VLOOKUP(D31,Auxiliar!A:C,2,0)</f>
        <v>DF ASSAI</v>
      </c>
      <c r="C31" s="5" t="str">
        <f>VLOOKUP(D31,Auxiliar!A:C,3,0)</f>
        <v>Luiz</v>
      </c>
      <c r="D31" s="9" t="s">
        <v>35</v>
      </c>
      <c r="E31" s="16">
        <v>0.46369314027484643</v>
      </c>
      <c r="F31" s="24">
        <v>20.296440000000004</v>
      </c>
      <c r="G31" s="53">
        <v>0.87</v>
      </c>
      <c r="H31" s="10">
        <v>19.426440000000003</v>
      </c>
      <c r="I31" s="10">
        <v>11.653742416161405</v>
      </c>
      <c r="J31" s="10">
        <v>9.4113200000000052</v>
      </c>
      <c r="K31" s="10">
        <v>0.38361508452535759</v>
      </c>
      <c r="L31" s="10">
        <v>0.33657433163604172</v>
      </c>
      <c r="M31" s="10">
        <v>1.5222330000000006</v>
      </c>
      <c r="N31" s="11">
        <v>0.02</v>
      </c>
      <c r="O31" s="12">
        <v>0.02</v>
      </c>
      <c r="P31" s="11">
        <v>3.5000000000000003E-2</v>
      </c>
      <c r="Q31" s="35">
        <v>7.7726975838385979</v>
      </c>
      <c r="R31" s="12">
        <v>0.40010921114926856</v>
      </c>
      <c r="S31" s="10">
        <v>0.40341303203911638</v>
      </c>
      <c r="T31" s="10">
        <v>4.2864660009341533E-2</v>
      </c>
      <c r="U31" s="22">
        <v>1</v>
      </c>
      <c r="V31" s="10">
        <v>1</v>
      </c>
      <c r="W31" s="10">
        <v>0.40592880000000009</v>
      </c>
      <c r="X31" s="40">
        <v>3.4471401901737027</v>
      </c>
      <c r="Y31" s="39">
        <v>3.4471401901737027</v>
      </c>
      <c r="Z31" s="15">
        <v>0.53869314027484649</v>
      </c>
      <c r="AA31" s="10">
        <v>0.72018941616139931</v>
      </c>
      <c r="AB31" s="10">
        <v>2992.2630099999983</v>
      </c>
      <c r="AC31" s="43">
        <v>6.7829732654416681E-3</v>
      </c>
      <c r="AD31" s="43">
        <v>4.5786170841820694E-3</v>
      </c>
      <c r="AE31" s="44">
        <v>169.57433163604171</v>
      </c>
      <c r="AF31" s="10">
        <v>167</v>
      </c>
      <c r="AG31" s="10">
        <v>4432.8756099999982</v>
      </c>
      <c r="AH31" s="12">
        <v>4.5786170841820694E-3</v>
      </c>
      <c r="AI31" s="10">
        <v>383.61508452535759</v>
      </c>
      <c r="AJ31" s="10">
        <v>336.57433163604173</v>
      </c>
      <c r="AK31" s="5" t="s">
        <v>29</v>
      </c>
      <c r="AL31" s="5" t="s">
        <v>29</v>
      </c>
      <c r="AM31" s="4" t="s">
        <v>119</v>
      </c>
    </row>
    <row r="32" spans="1:39" x14ac:dyDescent="0.35">
      <c r="A32" s="5" t="s">
        <v>108</v>
      </c>
      <c r="B32" s="9" t="str">
        <f>VLOOKUP(D32,Auxiliar!A:C,2,0)</f>
        <v>MG ASSAI</v>
      </c>
      <c r="C32" s="5" t="str">
        <f>VLOOKUP(D32,Auxiliar!A:C,3,0)</f>
        <v>Luiz</v>
      </c>
      <c r="D32" s="9" t="s">
        <v>37</v>
      </c>
      <c r="E32" s="16">
        <v>0.46406330962362796</v>
      </c>
      <c r="F32" s="24">
        <v>42.457999999999984</v>
      </c>
      <c r="G32" s="53">
        <v>0</v>
      </c>
      <c r="H32" s="10">
        <v>42.457999999999984</v>
      </c>
      <c r="I32" s="10">
        <v>26.465860914110351</v>
      </c>
      <c r="J32" s="10">
        <v>19.703199999999988</v>
      </c>
      <c r="K32" s="10">
        <v>2.3016905071521454</v>
      </c>
      <c r="L32" s="10">
        <v>1.2766204069582181</v>
      </c>
      <c r="M32" s="10">
        <v>3.1843499999999993</v>
      </c>
      <c r="N32" s="11">
        <v>0.02</v>
      </c>
      <c r="O32" s="12">
        <v>0.02</v>
      </c>
      <c r="P32" s="11">
        <v>3.5000000000000003E-2</v>
      </c>
      <c r="Q32" s="35">
        <v>15.992139085889633</v>
      </c>
      <c r="R32" s="12">
        <v>0.37665785213362946</v>
      </c>
      <c r="S32" s="10">
        <v>0</v>
      </c>
      <c r="T32" s="10">
        <v>0</v>
      </c>
      <c r="U32" s="22">
        <v>1</v>
      </c>
      <c r="V32" s="10">
        <v>6</v>
      </c>
      <c r="W32" s="10">
        <v>0.84915999999999969</v>
      </c>
      <c r="X32" s="40">
        <v>7.7631288392090001</v>
      </c>
      <c r="Y32" s="39">
        <v>1.2938548065348334</v>
      </c>
      <c r="Z32" s="15">
        <v>0.53906330962362792</v>
      </c>
      <c r="AA32" s="10">
        <v>3.5783109141103635</v>
      </c>
      <c r="AB32" s="10">
        <v>2992.2630099999983</v>
      </c>
      <c r="AC32" s="43">
        <v>1.4189260722773166E-2</v>
      </c>
      <c r="AD32" s="43">
        <v>9.577981368171078E-3</v>
      </c>
      <c r="AE32" s="44">
        <v>354.73151806932918</v>
      </c>
      <c r="AF32" s="10">
        <v>921.88888888888891</v>
      </c>
      <c r="AG32" s="10">
        <v>4432.8756099999982</v>
      </c>
      <c r="AH32" s="12">
        <v>9.577981368171078E-3</v>
      </c>
      <c r="AI32" s="10">
        <v>2301.6905071521455</v>
      </c>
      <c r="AJ32" s="10">
        <v>1276.6204069582182</v>
      </c>
      <c r="AK32" s="5" t="s">
        <v>29</v>
      </c>
      <c r="AL32" s="5" t="s">
        <v>29</v>
      </c>
      <c r="AM32" s="4" t="s">
        <v>119</v>
      </c>
    </row>
    <row r="33" spans="1:39" x14ac:dyDescent="0.35">
      <c r="A33" s="5" t="s">
        <v>108</v>
      </c>
      <c r="B33" s="9" t="str">
        <f>VLOOKUP(D33,Auxiliar!A:C,2,0)</f>
        <v>MG BAHAMAS</v>
      </c>
      <c r="C33" s="5" t="str">
        <f>VLOOKUP(D33,Auxiliar!A:C,3,0)</f>
        <v>Luiz</v>
      </c>
      <c r="D33" s="9" t="s">
        <v>38</v>
      </c>
      <c r="E33" s="16">
        <v>0.4778047094296875</v>
      </c>
      <c r="F33" s="24">
        <v>119.93204999999999</v>
      </c>
      <c r="G33" s="53">
        <v>19.452999999999999</v>
      </c>
      <c r="H33" s="10">
        <v>100.47904999999999</v>
      </c>
      <c r="I33" s="10">
        <v>109.71362224666044</v>
      </c>
      <c r="J33" s="10">
        <v>57.304098301556749</v>
      </c>
      <c r="K33" s="10">
        <v>24.934980494148242</v>
      </c>
      <c r="L33" s="10">
        <v>14.282017950955455</v>
      </c>
      <c r="M33" s="10">
        <v>13.192525499999999</v>
      </c>
      <c r="N33" s="11">
        <v>5.5E-2</v>
      </c>
      <c r="O33" s="12">
        <v>0.02</v>
      </c>
      <c r="P33" s="11">
        <v>3.5000000000000003E-2</v>
      </c>
      <c r="Q33" s="35">
        <v>-9.2345722466604485</v>
      </c>
      <c r="R33" s="12">
        <v>-9.1905449411200144E-2</v>
      </c>
      <c r="S33" s="10">
        <v>9.2947350125357104</v>
      </c>
      <c r="T33" s="10">
        <v>0.16220017918479673</v>
      </c>
      <c r="U33" s="22">
        <v>1</v>
      </c>
      <c r="V33" s="10">
        <v>65</v>
      </c>
      <c r="W33" s="10">
        <v>6.5962627499999993</v>
      </c>
      <c r="X33" s="40">
        <v>142.33544096034677</v>
      </c>
      <c r="Y33" s="39">
        <v>2.1897760147745657</v>
      </c>
      <c r="Z33" s="15">
        <v>0.58780470942968754</v>
      </c>
      <c r="AA33" s="10">
        <v>39.216998445103698</v>
      </c>
      <c r="AB33" s="10">
        <v>2992.2630099999983</v>
      </c>
      <c r="AC33" s="43">
        <v>4.0080718038218194E-2</v>
      </c>
      <c r="AD33" s="43">
        <v>2.7055135436114805E-2</v>
      </c>
      <c r="AE33" s="44">
        <v>1002.0179509554548</v>
      </c>
      <c r="AF33" s="10">
        <v>13280</v>
      </c>
      <c r="AG33" s="10">
        <v>4432.8756099999982</v>
      </c>
      <c r="AH33" s="12">
        <v>2.7055135436114805E-2</v>
      </c>
      <c r="AI33" s="10">
        <v>24934.980494148243</v>
      </c>
      <c r="AJ33" s="10">
        <v>14282.017950955455</v>
      </c>
      <c r="AK33" s="5" t="s">
        <v>29</v>
      </c>
      <c r="AL33" s="5" t="s">
        <v>29</v>
      </c>
      <c r="AM33" s="4" t="s">
        <v>119</v>
      </c>
    </row>
    <row r="34" spans="1:39" x14ac:dyDescent="0.35">
      <c r="A34" s="5" t="s">
        <v>108</v>
      </c>
      <c r="B34" s="9" t="str">
        <f>VLOOKUP(D34,Auxiliar!A:C,2,0)</f>
        <v>MG BH</v>
      </c>
      <c r="C34" s="5" t="str">
        <f>VLOOKUP(D34,Auxiliar!A:C,3,0)</f>
        <v>Luiz</v>
      </c>
      <c r="D34" s="9" t="s">
        <v>39</v>
      </c>
      <c r="E34" s="16">
        <v>0.49703623235081451</v>
      </c>
      <c r="F34" s="24">
        <v>147.40179999999958</v>
      </c>
      <c r="G34" s="53">
        <v>0</v>
      </c>
      <c r="H34" s="10">
        <v>147.40179999999958</v>
      </c>
      <c r="I34" s="10">
        <v>143.86815372120066</v>
      </c>
      <c r="J34" s="10">
        <v>73.264035313728087</v>
      </c>
      <c r="K34" s="10">
        <v>37.210663198959686</v>
      </c>
      <c r="L34" s="10">
        <v>20.864302208512889</v>
      </c>
      <c r="M34" s="10">
        <v>12.529152999999965</v>
      </c>
      <c r="N34" s="11">
        <v>0.03</v>
      </c>
      <c r="O34" s="12">
        <v>0.02</v>
      </c>
      <c r="P34" s="11">
        <v>3.5000000000000003E-2</v>
      </c>
      <c r="Q34" s="35">
        <v>3.5336462787989262</v>
      </c>
      <c r="R34" s="12">
        <v>2.3972884176441105E-2</v>
      </c>
      <c r="S34" s="10">
        <v>0</v>
      </c>
      <c r="T34" s="10">
        <v>0</v>
      </c>
      <c r="U34" s="22">
        <v>1</v>
      </c>
      <c r="V34" s="10">
        <v>97</v>
      </c>
      <c r="W34" s="10">
        <v>4.4220539999999877</v>
      </c>
      <c r="X34" s="40">
        <v>138.94736793601049</v>
      </c>
      <c r="Y34" s="39">
        <v>1.4324470921238195</v>
      </c>
      <c r="Z34" s="15">
        <v>0.58203623235081448</v>
      </c>
      <c r="AA34" s="10">
        <v>58.074965407472575</v>
      </c>
      <c r="AB34" s="10">
        <v>2992.2630099999983</v>
      </c>
      <c r="AC34" s="43">
        <v>4.9260977229404597E-2</v>
      </c>
      <c r="AD34" s="43">
        <v>3.3251959443093788E-2</v>
      </c>
      <c r="AE34" s="44">
        <v>1231.5244307351149</v>
      </c>
      <c r="AF34" s="10">
        <v>19632.777777777777</v>
      </c>
      <c r="AG34" s="10">
        <v>4432.8756099999982</v>
      </c>
      <c r="AH34" s="12">
        <v>3.3251959443093788E-2</v>
      </c>
      <c r="AI34" s="10">
        <v>37210.663198959686</v>
      </c>
      <c r="AJ34" s="10">
        <v>20864.302208512891</v>
      </c>
      <c r="AK34" s="5" t="s">
        <v>29</v>
      </c>
      <c r="AL34" s="5" t="s">
        <v>29</v>
      </c>
      <c r="AM34" s="4" t="s">
        <v>119</v>
      </c>
    </row>
    <row r="35" spans="1:39" x14ac:dyDescent="0.35">
      <c r="A35" s="5" t="s">
        <v>108</v>
      </c>
      <c r="B35" s="9" t="str">
        <f>VLOOKUP(D35,Auxiliar!A:C,2,0)</f>
        <v>SP BOA</v>
      </c>
      <c r="C35" s="5" t="str">
        <f>VLOOKUP(D35,Auxiliar!A:C,3,0)</f>
        <v>Julliano</v>
      </c>
      <c r="D35" s="9" t="s">
        <v>49</v>
      </c>
      <c r="E35" s="16">
        <v>0.45553913623564413</v>
      </c>
      <c r="F35" s="24">
        <v>40.863459999999989</v>
      </c>
      <c r="G35" s="53">
        <v>5.0742799999999999</v>
      </c>
      <c r="H35" s="10">
        <v>35.789179999999988</v>
      </c>
      <c r="I35" s="10">
        <v>36.707497198622328</v>
      </c>
      <c r="J35" s="10">
        <v>18.614905271999788</v>
      </c>
      <c r="K35" s="10">
        <v>5.7542262678803633</v>
      </c>
      <c r="L35" s="10">
        <v>7.2304331587421764</v>
      </c>
      <c r="M35" s="10">
        <v>5.1079324999999987</v>
      </c>
      <c r="N35" s="11">
        <v>7.0000000000000007E-2</v>
      </c>
      <c r="O35" s="12">
        <v>0.02</v>
      </c>
      <c r="P35" s="11">
        <v>3.5000000000000003E-2</v>
      </c>
      <c r="Q35" s="35">
        <v>-0.91831719862233996</v>
      </c>
      <c r="R35" s="12">
        <v>-2.5659073458021119E-2</v>
      </c>
      <c r="S35" s="10">
        <v>2.3115331282178042</v>
      </c>
      <c r="T35" s="10">
        <v>0.12417646474380782</v>
      </c>
      <c r="U35" s="22">
        <v>1</v>
      </c>
      <c r="V35" s="10">
        <v>15</v>
      </c>
      <c r="W35" s="10">
        <v>2.8604421999999996</v>
      </c>
      <c r="X35" s="40">
        <v>43.052739806418899</v>
      </c>
      <c r="Y35" s="39">
        <v>2.87018265376126</v>
      </c>
      <c r="Z35" s="15">
        <v>0.58053913623564413</v>
      </c>
      <c r="AA35" s="10">
        <v>12.984659426622539</v>
      </c>
      <c r="AB35" s="10">
        <v>180.08960000000002</v>
      </c>
      <c r="AC35" s="43">
        <v>0.22690627332172422</v>
      </c>
      <c r="AD35" s="43">
        <v>9.2182735531349605E-3</v>
      </c>
      <c r="AE35" s="44">
        <v>4538.1254664344842</v>
      </c>
      <c r="AF35" s="10">
        <v>2692.3076923076919</v>
      </c>
      <c r="AG35" s="10">
        <v>4432.8756099999982</v>
      </c>
      <c r="AH35" s="12">
        <v>9.2182735531349605E-3</v>
      </c>
      <c r="AI35" s="10">
        <v>5754.2262678803636</v>
      </c>
      <c r="AJ35" s="10">
        <v>7230.4331587421766</v>
      </c>
      <c r="AK35" s="5" t="s">
        <v>130</v>
      </c>
      <c r="AL35" s="5" t="s">
        <v>130</v>
      </c>
      <c r="AM35" s="4" t="s">
        <v>119</v>
      </c>
    </row>
    <row r="36" spans="1:39" x14ac:dyDescent="0.35">
      <c r="A36" s="5" t="s">
        <v>108</v>
      </c>
      <c r="B36" s="9" t="str">
        <f>VLOOKUP(D36,Auxiliar!A:C,2,0)</f>
        <v>ES Carone</v>
      </c>
      <c r="C36" s="5" t="str">
        <f>VLOOKUP(D36,Auxiliar!A:C,3,0)</f>
        <v>Luiz</v>
      </c>
      <c r="D36" s="9" t="s">
        <v>63</v>
      </c>
      <c r="E36" s="16">
        <v>0.52099979856308332</v>
      </c>
      <c r="F36" s="24">
        <v>119.14399999999999</v>
      </c>
      <c r="G36" s="53">
        <v>16.649999999999999</v>
      </c>
      <c r="H36" s="10">
        <v>102.494</v>
      </c>
      <c r="I36" s="10">
        <v>78.044209648072226</v>
      </c>
      <c r="J36" s="10">
        <v>62.073999999999991</v>
      </c>
      <c r="K36" s="10">
        <v>3.4525357607282183</v>
      </c>
      <c r="L36" s="10">
        <v>2.3904338873440145</v>
      </c>
      <c r="M36" s="10">
        <v>10.12724</v>
      </c>
      <c r="N36" s="11">
        <v>0.03</v>
      </c>
      <c r="O36" s="12">
        <v>0.02</v>
      </c>
      <c r="P36" s="11">
        <v>3.5000000000000003E-2</v>
      </c>
      <c r="Q36" s="35">
        <v>24.449790351927774</v>
      </c>
      <c r="R36" s="12">
        <v>0.2385485038336661</v>
      </c>
      <c r="S36" s="10">
        <v>8.6746466460753364</v>
      </c>
      <c r="T36" s="10">
        <v>0.13974686094138186</v>
      </c>
      <c r="U36" s="22">
        <v>1</v>
      </c>
      <c r="V36" s="10">
        <v>9</v>
      </c>
      <c r="W36" s="10">
        <v>3.5743199999999997</v>
      </c>
      <c r="X36" s="40">
        <v>57.088726264708711</v>
      </c>
      <c r="Y36" s="39">
        <v>6.3431918071898572</v>
      </c>
      <c r="Z36" s="15">
        <v>0.60599979856308328</v>
      </c>
      <c r="AA36" s="10">
        <v>5.8429696480722324</v>
      </c>
      <c r="AB36" s="10">
        <v>2992.2630099999983</v>
      </c>
      <c r="AC36" s="43">
        <v>3.981735549376058E-2</v>
      </c>
      <c r="AD36" s="43">
        <v>2.6877361442587386E-2</v>
      </c>
      <c r="AE36" s="44">
        <v>995.43388734401447</v>
      </c>
      <c r="AF36" s="10">
        <v>1395</v>
      </c>
      <c r="AG36" s="10">
        <v>4432.8756099999982</v>
      </c>
      <c r="AH36" s="12">
        <v>2.6877361442587386E-2</v>
      </c>
      <c r="AI36" s="10">
        <v>3452.5357607282185</v>
      </c>
      <c r="AJ36" s="10">
        <v>2390.4338873440147</v>
      </c>
      <c r="AK36" s="5" t="s">
        <v>29</v>
      </c>
      <c r="AL36" s="5" t="s">
        <v>29</v>
      </c>
      <c r="AM36" s="4" t="s">
        <v>119</v>
      </c>
    </row>
    <row r="37" spans="1:39" x14ac:dyDescent="0.35">
      <c r="A37" s="5" t="s">
        <v>108</v>
      </c>
      <c r="B37" s="9" t="str">
        <f>VLOOKUP(D37,Auxiliar!A:C,2,0)</f>
        <v>ES Carone</v>
      </c>
      <c r="C37" s="5" t="str">
        <f>VLOOKUP(D37,Auxiliar!A:C,3,0)</f>
        <v>Luiz</v>
      </c>
      <c r="D37" s="9" t="s">
        <v>64</v>
      </c>
      <c r="E37" s="16">
        <v>0.51463890696161352</v>
      </c>
      <c r="F37" s="24">
        <v>15.370000000000003</v>
      </c>
      <c r="G37" s="53">
        <v>17.056999999999999</v>
      </c>
      <c r="H37" s="10">
        <v>-1.6869999999999958</v>
      </c>
      <c r="I37" s="10">
        <v>9.7284795984620853</v>
      </c>
      <c r="J37" s="10">
        <v>7.910000000000001</v>
      </c>
      <c r="K37" s="10">
        <v>0.38361508452535759</v>
      </c>
      <c r="L37" s="10">
        <v>0.12841451393672787</v>
      </c>
      <c r="M37" s="10">
        <v>1.3064500000000003</v>
      </c>
      <c r="N37" s="11">
        <v>0.03</v>
      </c>
      <c r="O37" s="12">
        <v>0.02</v>
      </c>
      <c r="P37" s="11">
        <v>3.5000000000000003E-2</v>
      </c>
      <c r="Q37" s="35">
        <v>-11.415479598462081</v>
      </c>
      <c r="R37" s="12">
        <v>6.7667336090468932</v>
      </c>
      <c r="S37" s="10">
        <v>8.7781958360442403</v>
      </c>
      <c r="T37" s="10">
        <v>1.109759271307742</v>
      </c>
      <c r="U37" s="22">
        <v>1</v>
      </c>
      <c r="V37" s="10">
        <v>1</v>
      </c>
      <c r="W37" s="10">
        <v>0.46110000000000007</v>
      </c>
      <c r="X37" s="40">
        <v>43.882959418280862</v>
      </c>
      <c r="Y37" s="39">
        <v>43.882959418280862</v>
      </c>
      <c r="Z37" s="15">
        <v>0.59963890696161348</v>
      </c>
      <c r="AA37" s="10">
        <v>0.51202959846208551</v>
      </c>
      <c r="AB37" s="10">
        <v>2992.2630099999983</v>
      </c>
      <c r="AC37" s="43">
        <v>5.1365805574691151E-3</v>
      </c>
      <c r="AD37" s="43">
        <v>3.4672752750668791E-3</v>
      </c>
      <c r="AE37" s="44">
        <v>128.41451393672787</v>
      </c>
      <c r="AF37" s="10">
        <v>0</v>
      </c>
      <c r="AG37" s="10">
        <v>4432.8756099999982</v>
      </c>
      <c r="AH37" s="12">
        <v>3.4672752750668791E-3</v>
      </c>
      <c r="AI37" s="10">
        <v>383.61508452535759</v>
      </c>
      <c r="AJ37" s="10">
        <v>128.41451393672787</v>
      </c>
      <c r="AK37" s="5" t="s">
        <v>29</v>
      </c>
      <c r="AL37" s="5" t="s">
        <v>29</v>
      </c>
      <c r="AM37" s="4" t="s">
        <v>119</v>
      </c>
    </row>
    <row r="38" spans="1:39" x14ac:dyDescent="0.35">
      <c r="A38" s="5" t="s">
        <v>108</v>
      </c>
      <c r="B38" s="9" t="str">
        <f>VLOOKUP(D38,Auxiliar!A:C,2,0)</f>
        <v>PR CIRCUITO</v>
      </c>
      <c r="C38" s="5" t="str">
        <f>VLOOKUP(D38,Auxiliar!A:C,3,0)</f>
        <v>Luiz</v>
      </c>
      <c r="D38" s="9" t="s">
        <v>131</v>
      </c>
      <c r="E38" s="16">
        <v>0</v>
      </c>
      <c r="F38" s="24">
        <v>0</v>
      </c>
      <c r="G38" s="53">
        <v>0</v>
      </c>
      <c r="H38" s="10">
        <v>0</v>
      </c>
      <c r="I38" s="10">
        <v>0.90723016905071519</v>
      </c>
      <c r="J38" s="10">
        <v>0</v>
      </c>
      <c r="K38" s="10">
        <v>0.76723016905071517</v>
      </c>
      <c r="L38" s="10">
        <v>0.14000000000000001</v>
      </c>
      <c r="M38" s="10">
        <v>0</v>
      </c>
      <c r="N38" s="11">
        <v>0</v>
      </c>
      <c r="O38" s="12">
        <v>0.02</v>
      </c>
      <c r="P38" s="11">
        <v>3.5000000000000003E-2</v>
      </c>
      <c r="Q38" s="35">
        <v>-0.90723016905071519</v>
      </c>
      <c r="R38" s="12">
        <v>0</v>
      </c>
      <c r="S38" s="10">
        <v>0</v>
      </c>
      <c r="T38" s="10">
        <v>0</v>
      </c>
      <c r="U38" s="22">
        <v>1</v>
      </c>
      <c r="V38" s="10">
        <v>2</v>
      </c>
      <c r="W38" s="10">
        <v>0</v>
      </c>
      <c r="X38" s="40">
        <v>0.96003192492139178</v>
      </c>
      <c r="Y38" s="39">
        <v>0.48001596246069589</v>
      </c>
      <c r="Z38" s="15">
        <v>5.5000000000000007E-2</v>
      </c>
      <c r="AA38" s="10">
        <v>0.90723016905071519</v>
      </c>
      <c r="AB38" s="10">
        <v>0</v>
      </c>
      <c r="AC38" s="43" t="e">
        <v>#DIV/0!</v>
      </c>
      <c r="AD38" s="43">
        <v>0</v>
      </c>
      <c r="AE38" s="44">
        <v>0</v>
      </c>
      <c r="AF38" s="10">
        <v>140</v>
      </c>
      <c r="AG38" s="10">
        <v>4432.8756099999982</v>
      </c>
      <c r="AH38" s="12">
        <v>0</v>
      </c>
      <c r="AI38" s="10">
        <v>767.23016905071518</v>
      </c>
      <c r="AJ38" s="10">
        <v>140</v>
      </c>
      <c r="AK38" s="5" t="s">
        <v>113</v>
      </c>
      <c r="AL38" s="5" t="s">
        <v>113</v>
      </c>
      <c r="AM38" s="4" t="s">
        <v>119</v>
      </c>
    </row>
    <row r="39" spans="1:39" x14ac:dyDescent="0.35">
      <c r="A39" s="5" t="s">
        <v>108</v>
      </c>
      <c r="B39" s="9" t="str">
        <f>VLOOKUP(D39,Auxiliar!A:C,2,0)</f>
        <v>DF DONA</v>
      </c>
      <c r="C39" s="5" t="str">
        <f>VLOOKUP(D39,Auxiliar!A:C,3,0)</f>
        <v>Luiz</v>
      </c>
      <c r="D39" s="9" t="s">
        <v>33</v>
      </c>
      <c r="E39" s="16">
        <v>0.48311013110728862</v>
      </c>
      <c r="F39" s="24">
        <v>218.51091999999929</v>
      </c>
      <c r="G39" s="53">
        <v>48.787579999999991</v>
      </c>
      <c r="H39" s="10">
        <v>169.7233399999993</v>
      </c>
      <c r="I39" s="10">
        <v>135.53663853159748</v>
      </c>
      <c r="J39" s="10">
        <v>105.56483920957392</v>
      </c>
      <c r="K39" s="10">
        <v>6.5214564369310795</v>
      </c>
      <c r="L39" s="10">
        <v>4.8769146850925358</v>
      </c>
      <c r="M39" s="10">
        <v>18.573428199999942</v>
      </c>
      <c r="N39" s="11">
        <v>0.03</v>
      </c>
      <c r="O39" s="12">
        <v>0.02</v>
      </c>
      <c r="P39" s="11">
        <v>3.5000000000000003E-2</v>
      </c>
      <c r="Q39" s="35">
        <v>34.186701468401822</v>
      </c>
      <c r="R39" s="12">
        <v>0.20142604705046438</v>
      </c>
      <c r="S39" s="10">
        <v>23.569774170207328</v>
      </c>
      <c r="T39" s="10">
        <v>0.22327296045433404</v>
      </c>
      <c r="U39" s="22">
        <v>1</v>
      </c>
      <c r="V39" s="10">
        <v>17</v>
      </c>
      <c r="W39" s="10">
        <v>6.5553275999999787</v>
      </c>
      <c r="X39" s="40">
        <v>139.35485746940452</v>
      </c>
      <c r="Y39" s="39">
        <v>8.1973445570237953</v>
      </c>
      <c r="Z39" s="15">
        <v>0.56811013110728859</v>
      </c>
      <c r="AA39" s="10">
        <v>11.398371122023615</v>
      </c>
      <c r="AB39" s="10">
        <v>2992.2630099999983</v>
      </c>
      <c r="AC39" s="43">
        <v>7.3025305352419342E-2</v>
      </c>
      <c r="AD39" s="43">
        <v>4.9293266769558503E-2</v>
      </c>
      <c r="AE39" s="44">
        <v>1825.6326338104836</v>
      </c>
      <c r="AF39" s="10">
        <v>3051.2820512820513</v>
      </c>
      <c r="AG39" s="10">
        <v>4432.8756099999982</v>
      </c>
      <c r="AH39" s="12">
        <v>4.9293266769558503E-2</v>
      </c>
      <c r="AI39" s="10">
        <v>6521.4564369310792</v>
      </c>
      <c r="AJ39" s="10">
        <v>4876.9146850925354</v>
      </c>
      <c r="AK39" s="5" t="s">
        <v>29</v>
      </c>
      <c r="AL39" s="5" t="s">
        <v>29</v>
      </c>
      <c r="AM39" s="4" t="s">
        <v>119</v>
      </c>
    </row>
    <row r="40" spans="1:39" x14ac:dyDescent="0.35">
      <c r="A40" s="5" t="s">
        <v>108</v>
      </c>
      <c r="B40" s="9" t="str">
        <f>VLOOKUP(D40,Auxiliar!A:C,2,0)</f>
        <v>MG EPA</v>
      </c>
      <c r="C40" s="5" t="str">
        <f>VLOOKUP(D40,Auxiliar!A:C,3,0)</f>
        <v>Luiz</v>
      </c>
      <c r="D40" s="9" t="s">
        <v>40</v>
      </c>
      <c r="E40" s="16">
        <v>0.50230309261945427</v>
      </c>
      <c r="F40" s="24">
        <v>65.35560000000001</v>
      </c>
      <c r="G40" s="53">
        <v>36.332980000000006</v>
      </c>
      <c r="H40" s="10">
        <v>29.022620000000003</v>
      </c>
      <c r="I40" s="10">
        <v>57.649334411386803</v>
      </c>
      <c r="J40" s="10">
        <v>32.828320000000012</v>
      </c>
      <c r="K40" s="10">
        <v>13.426527958387517</v>
      </c>
      <c r="L40" s="10">
        <v>5.8392604529992695</v>
      </c>
      <c r="M40" s="10">
        <v>5.5552260000000011</v>
      </c>
      <c r="N40" s="11">
        <v>0.03</v>
      </c>
      <c r="O40" s="12">
        <v>0.02</v>
      </c>
      <c r="P40" s="11">
        <v>3.5000000000000003E-2</v>
      </c>
      <c r="Q40" s="35">
        <v>-28.6267144113868</v>
      </c>
      <c r="R40" s="12">
        <v>-0.9863587233470581</v>
      </c>
      <c r="S40" s="10">
        <v>18.250168218080784</v>
      </c>
      <c r="T40" s="10">
        <v>0.55592757162354878</v>
      </c>
      <c r="U40" s="22">
        <v>1</v>
      </c>
      <c r="V40" s="10">
        <v>35</v>
      </c>
      <c r="W40" s="10">
        <v>1.9606680000000003</v>
      </c>
      <c r="X40" s="40">
        <v>134.72058408259272</v>
      </c>
      <c r="Y40" s="39">
        <v>3.8491595452169349</v>
      </c>
      <c r="Z40" s="15">
        <v>0.58730309261945424</v>
      </c>
      <c r="AA40" s="10">
        <v>19.265788411386787</v>
      </c>
      <c r="AB40" s="10">
        <v>2992.2630099999983</v>
      </c>
      <c r="AC40" s="43">
        <v>2.1841529231081878E-2</v>
      </c>
      <c r="AD40" s="43">
        <v>1.4743386855378068E-2</v>
      </c>
      <c r="AE40" s="44">
        <v>546.03823077704692</v>
      </c>
      <c r="AF40" s="10">
        <v>5293.2222222222226</v>
      </c>
      <c r="AG40" s="10">
        <v>4432.8756099999982</v>
      </c>
      <c r="AH40" s="12">
        <v>1.4743386855378068E-2</v>
      </c>
      <c r="AI40" s="10">
        <v>13426.527958387516</v>
      </c>
      <c r="AJ40" s="10">
        <v>5839.2604529992695</v>
      </c>
      <c r="AK40" s="5" t="s">
        <v>29</v>
      </c>
      <c r="AL40" s="5" t="s">
        <v>29</v>
      </c>
      <c r="AM40" s="4" t="s">
        <v>119</v>
      </c>
    </row>
    <row r="41" spans="1:39" x14ac:dyDescent="0.35">
      <c r="A41" s="5" t="s">
        <v>108</v>
      </c>
      <c r="B41" s="9" t="str">
        <f>VLOOKUP(D41,Auxiliar!A:C,2,0)</f>
        <v>SP FORT</v>
      </c>
      <c r="C41" s="5" t="str">
        <f>VLOOKUP(D41,Auxiliar!A:C,3,0)</f>
        <v>Julliano</v>
      </c>
      <c r="D41" s="9" t="s">
        <v>50</v>
      </c>
      <c r="E41" s="16">
        <v>0.45970879181949548</v>
      </c>
      <c r="F41" s="24">
        <v>10.7964</v>
      </c>
      <c r="G41" s="53">
        <v>0</v>
      </c>
      <c r="H41" s="10">
        <v>10.7964</v>
      </c>
      <c r="I41" s="10">
        <v>9.7033469292666243</v>
      </c>
      <c r="J41" s="10">
        <v>4.9632000000000014</v>
      </c>
      <c r="K41" s="10">
        <v>1.1508452535760727</v>
      </c>
      <c r="L41" s="10">
        <v>2.0238236756905508</v>
      </c>
      <c r="M41" s="10">
        <v>1.5654780000000001</v>
      </c>
      <c r="N41" s="11">
        <v>0.09</v>
      </c>
      <c r="O41" s="12">
        <v>0.02</v>
      </c>
      <c r="P41" s="11">
        <v>3.5000000000000003E-2</v>
      </c>
      <c r="Q41" s="35">
        <v>1.0930530707333759</v>
      </c>
      <c r="R41" s="12">
        <v>0.10124236511553628</v>
      </c>
      <c r="S41" s="10">
        <v>0</v>
      </c>
      <c r="T41" s="10">
        <v>0</v>
      </c>
      <c r="U41" s="22">
        <v>1</v>
      </c>
      <c r="V41" s="10">
        <v>3</v>
      </c>
      <c r="W41" s="10">
        <v>0.97167599999999998</v>
      </c>
      <c r="X41" s="40">
        <v>8.0312156293062635</v>
      </c>
      <c r="Y41" s="39">
        <v>2.6770718764354213</v>
      </c>
      <c r="Z41" s="15">
        <v>0.60470879181949555</v>
      </c>
      <c r="AA41" s="10">
        <v>3.1746689292666233</v>
      </c>
      <c r="AB41" s="10">
        <v>180.08960000000002</v>
      </c>
      <c r="AC41" s="43">
        <v>5.9950158143501894E-2</v>
      </c>
      <c r="AD41" s="43">
        <v>2.4355296538537442E-3</v>
      </c>
      <c r="AE41" s="44">
        <v>1199.0031628700378</v>
      </c>
      <c r="AF41" s="10">
        <v>824.82051282051282</v>
      </c>
      <c r="AG41" s="10">
        <v>4432.8756099999982</v>
      </c>
      <c r="AH41" s="12">
        <v>2.4355296538537442E-3</v>
      </c>
      <c r="AI41" s="10">
        <v>1150.8452535760728</v>
      </c>
      <c r="AJ41" s="10">
        <v>2023.8236756905508</v>
      </c>
      <c r="AK41" s="5" t="s">
        <v>130</v>
      </c>
      <c r="AL41" s="5" t="s">
        <v>130</v>
      </c>
      <c r="AM41" s="4" t="s">
        <v>119</v>
      </c>
    </row>
    <row r="42" spans="1:39" x14ac:dyDescent="0.35">
      <c r="A42" s="5" t="s">
        <v>108</v>
      </c>
      <c r="B42" s="9" t="str">
        <f>VLOOKUP(D42,Auxiliar!A:C,2,0)</f>
        <v>BA HIPERIDEAL</v>
      </c>
      <c r="C42" s="5" t="str">
        <f>VLOOKUP(D42,Auxiliar!A:C,3,0)</f>
        <v>Luiz</v>
      </c>
      <c r="D42" s="9" t="s">
        <v>5</v>
      </c>
      <c r="E42" s="16">
        <v>0.5146226143941135</v>
      </c>
      <c r="F42" s="24">
        <v>167.0016</v>
      </c>
      <c r="G42" s="53">
        <v>22.963709999999999</v>
      </c>
      <c r="H42" s="10">
        <v>144.03789</v>
      </c>
      <c r="I42" s="10">
        <v>121.84723861604938</v>
      </c>
      <c r="J42" s="10">
        <v>85.942799999999977</v>
      </c>
      <c r="K42" s="10">
        <v>9.9739921976592978</v>
      </c>
      <c r="L42" s="10">
        <v>8.3952784183901006</v>
      </c>
      <c r="M42" s="10">
        <v>17.535168000000002</v>
      </c>
      <c r="N42" s="11">
        <v>0.05</v>
      </c>
      <c r="O42" s="12">
        <v>0.02</v>
      </c>
      <c r="P42" s="11">
        <v>3.5000000000000003E-2</v>
      </c>
      <c r="Q42" s="35">
        <v>22.190651383950623</v>
      </c>
      <c r="R42" s="12">
        <v>0.15406120836642789</v>
      </c>
      <c r="S42" s="10">
        <v>11.817644476388248</v>
      </c>
      <c r="T42" s="10">
        <v>0.13750592808691653</v>
      </c>
      <c r="U42" s="22">
        <v>1</v>
      </c>
      <c r="V42" s="10">
        <v>26</v>
      </c>
      <c r="W42" s="10">
        <v>8.3500800000000002</v>
      </c>
      <c r="X42" s="40">
        <v>108.66308613539655</v>
      </c>
      <c r="Y42" s="39">
        <v>4.1793494667460216</v>
      </c>
      <c r="Z42" s="15">
        <v>0.61962261439411348</v>
      </c>
      <c r="AA42" s="10">
        <v>18.369270616049398</v>
      </c>
      <c r="AB42" s="10">
        <v>2992.2630099999983</v>
      </c>
      <c r="AC42" s="43">
        <v>5.5811136735604033E-2</v>
      </c>
      <c r="AD42" s="43">
        <v>3.7673423459766348E-2</v>
      </c>
      <c r="AE42" s="44">
        <v>1395.2784183901008</v>
      </c>
      <c r="AF42" s="10">
        <v>7000</v>
      </c>
      <c r="AG42" s="10">
        <v>4432.8756099999982</v>
      </c>
      <c r="AH42" s="12">
        <v>3.7673423459766348E-2</v>
      </c>
      <c r="AI42" s="10">
        <v>9973.9921976592977</v>
      </c>
      <c r="AJ42" s="10">
        <v>8395.2784183901003</v>
      </c>
      <c r="AK42" s="5" t="s">
        <v>113</v>
      </c>
      <c r="AL42" s="5" t="s">
        <v>29</v>
      </c>
      <c r="AM42" s="4" t="s">
        <v>119</v>
      </c>
    </row>
    <row r="43" spans="1:39" x14ac:dyDescent="0.35">
      <c r="A43" s="5" t="s">
        <v>108</v>
      </c>
      <c r="B43" s="9" t="str">
        <f>VLOOKUP(D43,Auxiliar!A:C,2,0)</f>
        <v>PR ÍTALO</v>
      </c>
      <c r="C43" s="5" t="str">
        <f>VLOOKUP(D43,Auxiliar!A:C,3,0)</f>
        <v>Luiz</v>
      </c>
      <c r="D43" s="9" t="s">
        <v>46</v>
      </c>
      <c r="E43" s="16">
        <v>0</v>
      </c>
      <c r="F43" s="24">
        <v>0</v>
      </c>
      <c r="G43" s="53">
        <v>0</v>
      </c>
      <c r="H43" s="10">
        <v>0</v>
      </c>
      <c r="I43" s="10">
        <v>8.7660516905071511</v>
      </c>
      <c r="J43" s="10">
        <v>0</v>
      </c>
      <c r="K43" s="10">
        <v>7.6723016905071519</v>
      </c>
      <c r="L43" s="10">
        <v>1.09375</v>
      </c>
      <c r="M43" s="10">
        <v>0</v>
      </c>
      <c r="N43" s="11">
        <v>0.03</v>
      </c>
      <c r="O43" s="12">
        <v>0.02</v>
      </c>
      <c r="P43" s="11">
        <v>3.5000000000000003E-2</v>
      </c>
      <c r="Q43" s="35">
        <v>-8.7660516905071511</v>
      </c>
      <c r="R43" s="12">
        <v>0</v>
      </c>
      <c r="S43" s="10">
        <v>0</v>
      </c>
      <c r="T43" s="10">
        <v>0</v>
      </c>
      <c r="U43" s="22">
        <v>1</v>
      </c>
      <c r="V43" s="10">
        <v>20</v>
      </c>
      <c r="W43" s="10">
        <v>0</v>
      </c>
      <c r="X43" s="40">
        <v>9.580384361210001</v>
      </c>
      <c r="Y43" s="39">
        <v>0.47901921806050007</v>
      </c>
      <c r="Z43" s="15">
        <v>8.5000000000000006E-2</v>
      </c>
      <c r="AA43" s="10">
        <v>8.7660516905071511</v>
      </c>
      <c r="AB43" s="10">
        <v>1216.4010000000001</v>
      </c>
      <c r="AC43" s="43">
        <v>0</v>
      </c>
      <c r="AD43" s="43">
        <v>0</v>
      </c>
      <c r="AE43" s="44">
        <v>0</v>
      </c>
      <c r="AF43" s="10">
        <v>1093.75</v>
      </c>
      <c r="AG43" s="10">
        <v>4432.8756099999982</v>
      </c>
      <c r="AH43" s="12">
        <v>0</v>
      </c>
      <c r="AI43" s="10">
        <v>7672.3016905071518</v>
      </c>
      <c r="AJ43" s="10">
        <v>1093.75</v>
      </c>
      <c r="AK43" s="5" t="s">
        <v>22</v>
      </c>
      <c r="AL43" s="5" t="s">
        <v>22</v>
      </c>
      <c r="AM43" s="4" t="s">
        <v>119</v>
      </c>
    </row>
    <row r="44" spans="1:39" x14ac:dyDescent="0.35">
      <c r="A44" s="5" t="s">
        <v>108</v>
      </c>
      <c r="B44" s="9" t="str">
        <f>VLOOKUP(D44,Auxiliar!A:C,2,0)</f>
        <v>SP MAMBO</v>
      </c>
      <c r="C44" s="5" t="str">
        <f>VLOOKUP(D44,Auxiliar!A:C,3,0)</f>
        <v>Julliano</v>
      </c>
      <c r="D44" s="9" t="s">
        <v>51</v>
      </c>
      <c r="E44" s="16">
        <v>0.44716348522314736</v>
      </c>
      <c r="F44" s="24">
        <v>72.103000000000023</v>
      </c>
      <c r="G44" s="53">
        <v>19.306280000000001</v>
      </c>
      <c r="H44" s="10">
        <v>52.796720000000022</v>
      </c>
      <c r="I44" s="10">
        <v>57.646145219133558</v>
      </c>
      <c r="J44" s="10">
        <v>32.241828775044603</v>
      </c>
      <c r="K44" s="10">
        <v>5.7542262678803633</v>
      </c>
      <c r="L44" s="10">
        <v>8.4741251762085845</v>
      </c>
      <c r="M44" s="10">
        <v>11.175965000000005</v>
      </c>
      <c r="N44" s="11">
        <v>0.1</v>
      </c>
      <c r="O44" s="12">
        <v>0.02</v>
      </c>
      <c r="P44" s="11">
        <v>3.5000000000000003E-2</v>
      </c>
      <c r="Q44" s="35">
        <v>-4.8494252191335363</v>
      </c>
      <c r="R44" s="12">
        <v>-9.1850880492832396E-2</v>
      </c>
      <c r="S44" s="10">
        <v>8.6330634514939462</v>
      </c>
      <c r="T44" s="10">
        <v>0.26775973260474589</v>
      </c>
      <c r="U44" s="22">
        <v>1</v>
      </c>
      <c r="V44" s="10">
        <v>15</v>
      </c>
      <c r="W44" s="10">
        <v>7.2103000000000028</v>
      </c>
      <c r="X44" s="40">
        <v>84.292492515169471</v>
      </c>
      <c r="Y44" s="39">
        <v>5.6194995010112985</v>
      </c>
      <c r="Z44" s="15">
        <v>0.60216348522314744</v>
      </c>
      <c r="AA44" s="10">
        <v>14.228351444088947</v>
      </c>
      <c r="AB44" s="10">
        <v>180.08960000000002</v>
      </c>
      <c r="AC44" s="43">
        <v>0.40037292547709591</v>
      </c>
      <c r="AD44" s="43">
        <v>1.6265513933516409E-2</v>
      </c>
      <c r="AE44" s="44">
        <v>8007.4585095419179</v>
      </c>
      <c r="AF44" s="10">
        <v>466.66666666666669</v>
      </c>
      <c r="AG44" s="10">
        <v>4432.8756099999982</v>
      </c>
      <c r="AH44" s="12">
        <v>1.6265513933516409E-2</v>
      </c>
      <c r="AI44" s="10">
        <v>5754.2262678803636</v>
      </c>
      <c r="AJ44" s="10">
        <v>8474.1251762085849</v>
      </c>
      <c r="AK44" s="5" t="s">
        <v>130</v>
      </c>
      <c r="AL44" s="5" t="s">
        <v>130</v>
      </c>
      <c r="AM44" s="4" t="s">
        <v>119</v>
      </c>
    </row>
    <row r="45" spans="1:39" x14ac:dyDescent="0.35">
      <c r="A45" s="5" t="s">
        <v>108</v>
      </c>
      <c r="B45" s="9" t="str">
        <f>VLOOKUP(D45,Auxiliar!A:C,2,0)</f>
        <v>PE MATEUS</v>
      </c>
      <c r="C45" s="5" t="str">
        <f>VLOOKUP(D45,Auxiliar!A:C,3,0)</f>
        <v>Luiz</v>
      </c>
      <c r="D45" s="9" t="s">
        <v>36</v>
      </c>
      <c r="E45" s="16">
        <v>0</v>
      </c>
      <c r="F45" s="24">
        <v>0</v>
      </c>
      <c r="G45" s="53">
        <v>0</v>
      </c>
      <c r="H45" s="10">
        <v>0</v>
      </c>
      <c r="I45" s="10">
        <v>1.6008452535760727</v>
      </c>
      <c r="J45" s="10">
        <v>0</v>
      </c>
      <c r="K45" s="10">
        <v>1.1508452535760727</v>
      </c>
      <c r="L45" s="10">
        <v>0.45</v>
      </c>
      <c r="M45" s="10">
        <v>0</v>
      </c>
      <c r="N45" s="11">
        <v>0.03</v>
      </c>
      <c r="O45" s="12">
        <v>0.02</v>
      </c>
      <c r="P45" s="11">
        <v>3.5000000000000003E-2</v>
      </c>
      <c r="Q45" s="35">
        <v>-1.6008452535760727</v>
      </c>
      <c r="R45" s="12">
        <v>0</v>
      </c>
      <c r="S45" s="10">
        <v>0</v>
      </c>
      <c r="T45" s="10">
        <v>0</v>
      </c>
      <c r="U45" s="22">
        <v>1</v>
      </c>
      <c r="V45" s="10">
        <v>3</v>
      </c>
      <c r="W45" s="10">
        <v>0</v>
      </c>
      <c r="X45" s="40">
        <v>1.7495576541815001</v>
      </c>
      <c r="Y45" s="39">
        <v>0.5831858847271667</v>
      </c>
      <c r="Z45" s="15">
        <v>8.5000000000000006E-2</v>
      </c>
      <c r="AA45" s="10">
        <v>1.6008452535760727</v>
      </c>
      <c r="AB45" s="10">
        <v>2992.2630099999983</v>
      </c>
      <c r="AC45" s="43">
        <v>0</v>
      </c>
      <c r="AD45" s="43">
        <v>0</v>
      </c>
      <c r="AE45" s="44">
        <v>0</v>
      </c>
      <c r="AF45" s="10">
        <v>450</v>
      </c>
      <c r="AG45" s="10">
        <v>4432.8756099999982</v>
      </c>
      <c r="AH45" s="12">
        <v>0</v>
      </c>
      <c r="AI45" s="10">
        <v>1150.8452535760728</v>
      </c>
      <c r="AJ45" s="10">
        <v>450</v>
      </c>
      <c r="AK45" s="5" t="s">
        <v>29</v>
      </c>
      <c r="AL45" s="5" t="s">
        <v>29</v>
      </c>
      <c r="AM45" s="4" t="s">
        <v>119</v>
      </c>
    </row>
    <row r="46" spans="1:39" x14ac:dyDescent="0.35">
      <c r="A46" s="5" t="s">
        <v>108</v>
      </c>
      <c r="B46" s="9" t="str">
        <f>VLOOKUP(D46,Auxiliar!A:C,2,0)</f>
        <v>PE MATEUS</v>
      </c>
      <c r="C46" s="5" t="str">
        <f>VLOOKUP(D46,Auxiliar!A:C,3,0)</f>
        <v>Luiz</v>
      </c>
      <c r="D46" s="9" t="s">
        <v>43</v>
      </c>
      <c r="E46" s="16">
        <v>0.48283726483059569</v>
      </c>
      <c r="F46" s="24">
        <v>4.8582000000000001</v>
      </c>
      <c r="G46" s="53">
        <v>0</v>
      </c>
      <c r="H46" s="10">
        <v>4.8582000000000001</v>
      </c>
      <c r="I46" s="10">
        <v>3.3328717651764581</v>
      </c>
      <c r="J46" s="10">
        <v>2.34572</v>
      </c>
      <c r="K46" s="10">
        <v>0.38361508452535759</v>
      </c>
      <c r="L46" s="10">
        <v>0.19058968065110027</v>
      </c>
      <c r="M46" s="10">
        <v>0.41294700000000001</v>
      </c>
      <c r="N46" s="11">
        <v>0.03</v>
      </c>
      <c r="O46" s="12">
        <v>0.02</v>
      </c>
      <c r="P46" s="11">
        <v>3.5000000000000003E-2</v>
      </c>
      <c r="Q46" s="35">
        <v>1.525328234823542</v>
      </c>
      <c r="R46" s="12">
        <v>0.31396983138272239</v>
      </c>
      <c r="S46" s="10">
        <v>0</v>
      </c>
      <c r="T46" s="10">
        <v>0</v>
      </c>
      <c r="U46" s="22">
        <v>1</v>
      </c>
      <c r="V46" s="10">
        <v>1</v>
      </c>
      <c r="W46" s="10">
        <v>0.14574599999999999</v>
      </c>
      <c r="X46" s="40">
        <v>1.3286771821068151</v>
      </c>
      <c r="Y46" s="39">
        <v>1.3286771821068151</v>
      </c>
      <c r="Z46" s="15">
        <v>0.56783726483059571</v>
      </c>
      <c r="AA46" s="10">
        <v>0.57420476517645791</v>
      </c>
      <c r="AB46" s="10">
        <v>2992.2630099999983</v>
      </c>
      <c r="AC46" s="43">
        <v>1.6235872260440111E-3</v>
      </c>
      <c r="AD46" s="43">
        <v>1.0959477385380553E-3</v>
      </c>
      <c r="AE46" s="44">
        <v>40.589680651100281</v>
      </c>
      <c r="AF46" s="10">
        <v>150</v>
      </c>
      <c r="AG46" s="10">
        <v>4432.8756099999982</v>
      </c>
      <c r="AH46" s="12">
        <v>1.0959477385380553E-3</v>
      </c>
      <c r="AI46" s="10">
        <v>383.61508452535759</v>
      </c>
      <c r="AJ46" s="10">
        <v>190.58968065110028</v>
      </c>
      <c r="AK46" s="5" t="s">
        <v>29</v>
      </c>
      <c r="AL46" s="5" t="s">
        <v>29</v>
      </c>
      <c r="AM46" s="4" t="s">
        <v>119</v>
      </c>
    </row>
    <row r="47" spans="1:39" x14ac:dyDescent="0.35">
      <c r="A47" s="5" t="s">
        <v>108</v>
      </c>
      <c r="B47" s="9" t="str">
        <f>VLOOKUP(D47,Auxiliar!A:C,2,0)</f>
        <v>PE MATEUS</v>
      </c>
      <c r="C47" s="5" t="str">
        <f>VLOOKUP(D47,Auxiliar!A:C,3,0)</f>
        <v>Luiz</v>
      </c>
      <c r="D47" s="9" t="s">
        <v>44</v>
      </c>
      <c r="E47" s="16">
        <v>0.47648233318024324</v>
      </c>
      <c r="F47" s="24">
        <v>74.204639999999984</v>
      </c>
      <c r="G47" s="53">
        <v>0</v>
      </c>
      <c r="H47" s="10">
        <v>74.204639999999984</v>
      </c>
      <c r="I47" s="10">
        <v>44.419025640993418</v>
      </c>
      <c r="J47" s="10">
        <v>35.357199999999999</v>
      </c>
      <c r="K47" s="10">
        <v>1.5344603381014303</v>
      </c>
      <c r="L47" s="10">
        <v>1.2199709028919887</v>
      </c>
      <c r="M47" s="10">
        <v>6.3073943999999988</v>
      </c>
      <c r="N47" s="11">
        <v>0.03</v>
      </c>
      <c r="O47" s="12">
        <v>0.02</v>
      </c>
      <c r="P47" s="11">
        <v>3.5000000000000003E-2</v>
      </c>
      <c r="Q47" s="35">
        <v>29.785614359006566</v>
      </c>
      <c r="R47" s="12">
        <v>0.40139827319432547</v>
      </c>
      <c r="S47" s="10">
        <v>0</v>
      </c>
      <c r="T47" s="10">
        <v>0</v>
      </c>
      <c r="U47" s="22">
        <v>1</v>
      </c>
      <c r="V47" s="10">
        <v>4</v>
      </c>
      <c r="W47" s="10">
        <v>2.2261391999999995</v>
      </c>
      <c r="X47" s="40">
        <v>6.2812320903038295</v>
      </c>
      <c r="Y47" s="39">
        <v>1.5703080225759574</v>
      </c>
      <c r="Z47" s="15">
        <v>0.56148233318024321</v>
      </c>
      <c r="AA47" s="10">
        <v>2.7544312409934193</v>
      </c>
      <c r="AB47" s="10">
        <v>2992.2630099999983</v>
      </c>
      <c r="AC47" s="43">
        <v>2.4798836115679557E-2</v>
      </c>
      <c r="AD47" s="43">
        <v>1.6739617018037646E-2</v>
      </c>
      <c r="AE47" s="44">
        <v>619.97090289198889</v>
      </c>
      <c r="AF47" s="10">
        <v>600</v>
      </c>
      <c r="AG47" s="10">
        <v>4432.8756099999982</v>
      </c>
      <c r="AH47" s="12">
        <v>1.6739617018037646E-2</v>
      </c>
      <c r="AI47" s="10">
        <v>1534.4603381014304</v>
      </c>
      <c r="AJ47" s="10">
        <v>1219.9709028919888</v>
      </c>
      <c r="AK47" s="5" t="s">
        <v>29</v>
      </c>
      <c r="AL47" s="5" t="s">
        <v>29</v>
      </c>
      <c r="AM47" s="4" t="s">
        <v>119</v>
      </c>
    </row>
    <row r="48" spans="1:39" x14ac:dyDescent="0.35">
      <c r="A48" s="5" t="s">
        <v>108</v>
      </c>
      <c r="B48" s="9" t="str">
        <f>VLOOKUP(D48,Auxiliar!A:C,2,0)</f>
        <v>CE MERCADINHO SÃO LUIZ</v>
      </c>
      <c r="C48" s="5" t="str">
        <f>VLOOKUP(D48,Auxiliar!A:C,3,0)</f>
        <v>Luiz</v>
      </c>
      <c r="D48" s="9" t="s">
        <v>6</v>
      </c>
      <c r="E48" s="16">
        <v>0.47667039425393243</v>
      </c>
      <c r="F48" s="24">
        <v>101.49550000000002</v>
      </c>
      <c r="G48" s="53">
        <v>22.963709999999999</v>
      </c>
      <c r="H48" s="10">
        <v>78.531790000000029</v>
      </c>
      <c r="I48" s="10">
        <v>74.94082705312394</v>
      </c>
      <c r="J48" s="10">
        <v>48.379900000000006</v>
      </c>
      <c r="K48" s="10">
        <v>8.0559167750325091</v>
      </c>
      <c r="L48" s="10">
        <v>7.8479827780914224</v>
      </c>
      <c r="M48" s="10">
        <v>10.657027500000003</v>
      </c>
      <c r="N48" s="11">
        <v>0.05</v>
      </c>
      <c r="O48" s="12">
        <v>0.02</v>
      </c>
      <c r="P48" s="11">
        <v>3.5000000000000003E-2</v>
      </c>
      <c r="Q48" s="35">
        <v>3.5909629468760897</v>
      </c>
      <c r="R48" s="12">
        <v>4.5726233247403228E-2</v>
      </c>
      <c r="S48" s="10">
        <v>10.946120699232971</v>
      </c>
      <c r="T48" s="10">
        <v>0.22625347921829042</v>
      </c>
      <c r="U48" s="22">
        <v>1</v>
      </c>
      <c r="V48" s="10">
        <v>21</v>
      </c>
      <c r="W48" s="10">
        <v>5.0747750000000016</v>
      </c>
      <c r="X48" s="40">
        <v>92.911448339415784</v>
      </c>
      <c r="Y48" s="39">
        <v>4.424354682829323</v>
      </c>
      <c r="Z48" s="15">
        <v>0.58167039425393241</v>
      </c>
      <c r="AA48" s="10">
        <v>15.903899553123932</v>
      </c>
      <c r="AB48" s="10">
        <v>2992.2630099999983</v>
      </c>
      <c r="AC48" s="43">
        <v>3.3919311123656898E-2</v>
      </c>
      <c r="AD48" s="43">
        <v>2.2896085730679923E-2</v>
      </c>
      <c r="AE48" s="44">
        <v>847.98277809142246</v>
      </c>
      <c r="AF48" s="10">
        <v>7000</v>
      </c>
      <c r="AG48" s="10">
        <v>4432.8756099999982</v>
      </c>
      <c r="AH48" s="12">
        <v>2.2896085730679923E-2</v>
      </c>
      <c r="AI48" s="10">
        <v>8055.9167750325096</v>
      </c>
      <c r="AJ48" s="10">
        <v>7847.982778091422</v>
      </c>
      <c r="AK48" s="5" t="s">
        <v>113</v>
      </c>
      <c r="AL48" s="5" t="s">
        <v>29</v>
      </c>
      <c r="AM48" s="4" t="s">
        <v>119</v>
      </c>
    </row>
    <row r="49" spans="1:39" x14ac:dyDescent="0.35">
      <c r="A49" s="5" t="s">
        <v>108</v>
      </c>
      <c r="B49" s="9" t="str">
        <f>VLOOKUP(D49,Auxiliar!A:C,2,0)</f>
        <v>REDE OBA</v>
      </c>
      <c r="C49" s="5" t="str">
        <f>VLOOKUP(D49,Auxiliar!A:C,3,0)</f>
        <v>Julliano</v>
      </c>
      <c r="D49" s="9" t="s">
        <v>32</v>
      </c>
      <c r="E49" s="16">
        <v>0</v>
      </c>
      <c r="F49" s="24">
        <v>0</v>
      </c>
      <c r="G49" s="53">
        <v>0</v>
      </c>
      <c r="H49" s="10">
        <v>0</v>
      </c>
      <c r="I49" s="10">
        <v>7.8574573372011596</v>
      </c>
      <c r="J49" s="10">
        <v>0</v>
      </c>
      <c r="K49" s="10">
        <v>5.3706111833550061</v>
      </c>
      <c r="L49" s="10">
        <v>2.4868461538461539</v>
      </c>
      <c r="M49" s="10">
        <v>0</v>
      </c>
      <c r="N49" s="11">
        <v>1.4999999999999999E-2</v>
      </c>
      <c r="O49" s="12">
        <v>0.02</v>
      </c>
      <c r="P49" s="11">
        <v>3.5000000000000003E-2</v>
      </c>
      <c r="Q49" s="35">
        <v>-7.8574573372011596</v>
      </c>
      <c r="R49" s="12">
        <v>0</v>
      </c>
      <c r="S49" s="10">
        <v>0</v>
      </c>
      <c r="T49" s="10">
        <v>0</v>
      </c>
      <c r="U49" s="22">
        <v>1</v>
      </c>
      <c r="V49" s="10">
        <v>14</v>
      </c>
      <c r="W49" s="10">
        <v>0</v>
      </c>
      <c r="X49" s="40">
        <v>8.448878857205548</v>
      </c>
      <c r="Y49" s="39">
        <v>0.60349134694325346</v>
      </c>
      <c r="Z49" s="15">
        <v>7.0000000000000007E-2</v>
      </c>
      <c r="AA49" s="10">
        <v>7.8574573372011596</v>
      </c>
      <c r="AB49" s="10">
        <v>180.08960000000002</v>
      </c>
      <c r="AC49" s="43">
        <v>0</v>
      </c>
      <c r="AD49" s="43">
        <v>0</v>
      </c>
      <c r="AE49" s="44">
        <v>0</v>
      </c>
      <c r="AF49" s="10">
        <v>2486.8461538461538</v>
      </c>
      <c r="AG49" s="10">
        <v>4432.8756099999982</v>
      </c>
      <c r="AH49" s="12">
        <v>0</v>
      </c>
      <c r="AI49" s="10">
        <v>5370.6111833550058</v>
      </c>
      <c r="AJ49" s="10">
        <v>2486.8461538461538</v>
      </c>
      <c r="AK49" s="5" t="s">
        <v>130</v>
      </c>
      <c r="AL49" s="5" t="s">
        <v>130</v>
      </c>
      <c r="AM49" s="4" t="s">
        <v>119</v>
      </c>
    </row>
    <row r="50" spans="1:39" x14ac:dyDescent="0.35">
      <c r="A50" s="5" t="s">
        <v>108</v>
      </c>
      <c r="B50" s="9" t="str">
        <f>VLOOKUP(D50,Auxiliar!A:C,2,0)</f>
        <v>REDE OBA</v>
      </c>
      <c r="C50" s="5" t="str">
        <f>VLOOKUP(D50,Auxiliar!A:C,3,0)</f>
        <v>Julliano</v>
      </c>
      <c r="D50" s="9" t="s">
        <v>52</v>
      </c>
      <c r="E50" s="16">
        <v>0</v>
      </c>
      <c r="F50" s="24">
        <v>0</v>
      </c>
      <c r="G50" s="53">
        <v>0</v>
      </c>
      <c r="H50" s="10">
        <v>0</v>
      </c>
      <c r="I50" s="10">
        <v>30.346163582408053</v>
      </c>
      <c r="J50" s="10">
        <v>0</v>
      </c>
      <c r="K50" s="10">
        <v>20.331599479843952</v>
      </c>
      <c r="L50" s="10">
        <v>10.014564102564103</v>
      </c>
      <c r="M50" s="10">
        <v>0</v>
      </c>
      <c r="N50" s="11">
        <v>1.4999999999999999E-2</v>
      </c>
      <c r="O50" s="12">
        <v>0.02</v>
      </c>
      <c r="P50" s="11">
        <v>3.5000000000000003E-2</v>
      </c>
      <c r="Q50" s="35">
        <v>-30.346163582408053</v>
      </c>
      <c r="R50" s="12">
        <v>0</v>
      </c>
      <c r="S50" s="10">
        <v>0</v>
      </c>
      <c r="T50" s="10">
        <v>0</v>
      </c>
      <c r="U50" s="22">
        <v>1</v>
      </c>
      <c r="V50" s="10">
        <v>53</v>
      </c>
      <c r="W50" s="10">
        <v>0</v>
      </c>
      <c r="X50" s="40">
        <v>32.630283421944142</v>
      </c>
      <c r="Y50" s="39">
        <v>0.61566572494234229</v>
      </c>
      <c r="Z50" s="15">
        <v>7.0000000000000007E-2</v>
      </c>
      <c r="AA50" s="10">
        <v>30.346163582408053</v>
      </c>
      <c r="AB50" s="10">
        <v>180.08960000000002</v>
      </c>
      <c r="AC50" s="43">
        <v>0</v>
      </c>
      <c r="AD50" s="43">
        <v>0</v>
      </c>
      <c r="AE50" s="44">
        <v>0</v>
      </c>
      <c r="AF50" s="10">
        <v>10014.564102564103</v>
      </c>
      <c r="AG50" s="10">
        <v>4432.8756099999982</v>
      </c>
      <c r="AH50" s="12">
        <v>0</v>
      </c>
      <c r="AI50" s="10">
        <v>20331.599479843953</v>
      </c>
      <c r="AJ50" s="10">
        <v>10014.564102564103</v>
      </c>
      <c r="AK50" s="5" t="s">
        <v>130</v>
      </c>
      <c r="AL50" s="5" t="s">
        <v>130</v>
      </c>
      <c r="AM50" s="4" t="s">
        <v>119</v>
      </c>
    </row>
    <row r="51" spans="1:39" x14ac:dyDescent="0.35">
      <c r="A51" s="5" t="s">
        <v>108</v>
      </c>
      <c r="B51" s="9" t="str">
        <f>VLOOKUP(D51,Auxiliar!A:C,2,0)</f>
        <v>DF SUPER ADEGA</v>
      </c>
      <c r="C51" s="5" t="str">
        <f>VLOOKUP(D51,Auxiliar!A:C,3,0)</f>
        <v>Luiz</v>
      </c>
      <c r="D51" s="9" t="s">
        <v>34</v>
      </c>
      <c r="E51" s="16">
        <v>0.47135826884823662</v>
      </c>
      <c r="F51" s="24">
        <v>34.788399999999989</v>
      </c>
      <c r="G51" s="53">
        <v>0</v>
      </c>
      <c r="H51" s="10">
        <v>34.788399999999989</v>
      </c>
      <c r="I51" s="10">
        <v>21.417326246323992</v>
      </c>
      <c r="J51" s="10">
        <v>16.397799999999989</v>
      </c>
      <c r="K51" s="10">
        <v>1.918075422626788</v>
      </c>
      <c r="L51" s="10">
        <v>1.1880888236972156</v>
      </c>
      <c r="M51" s="10">
        <v>1.9133619999999996</v>
      </c>
      <c r="N51" s="11">
        <v>0</v>
      </c>
      <c r="O51" s="12">
        <v>0.02</v>
      </c>
      <c r="P51" s="11">
        <v>3.5000000000000003E-2</v>
      </c>
      <c r="Q51" s="35">
        <v>13.371073753675997</v>
      </c>
      <c r="R51" s="12">
        <v>0.38435437541467848</v>
      </c>
      <c r="S51" s="10">
        <v>0</v>
      </c>
      <c r="T51" s="10">
        <v>0</v>
      </c>
      <c r="U51" s="22">
        <v>1</v>
      </c>
      <c r="V51" s="10">
        <v>5</v>
      </c>
      <c r="W51" s="10">
        <v>0</v>
      </c>
      <c r="X51" s="40">
        <v>6.5580459702541134</v>
      </c>
      <c r="Y51" s="39">
        <v>1.3116091940508228</v>
      </c>
      <c r="Z51" s="15">
        <v>0.52635826884823667</v>
      </c>
      <c r="AA51" s="10">
        <v>3.1061642463240036</v>
      </c>
      <c r="AB51" s="10">
        <v>2992.2630099999983</v>
      </c>
      <c r="AC51" s="43">
        <v>1.1626117050452731E-2</v>
      </c>
      <c r="AD51" s="43">
        <v>7.8478177735287289E-3</v>
      </c>
      <c r="AE51" s="44">
        <v>290.65292626131827</v>
      </c>
      <c r="AF51" s="10">
        <v>897.43589743589735</v>
      </c>
      <c r="AG51" s="10">
        <v>4432.8756099999982</v>
      </c>
      <c r="AH51" s="12">
        <v>7.8478177735287289E-3</v>
      </c>
      <c r="AI51" s="10">
        <v>1918.0754226267879</v>
      </c>
      <c r="AJ51" s="10">
        <v>1188.0888236972155</v>
      </c>
      <c r="AK51" s="5" t="s">
        <v>29</v>
      </c>
      <c r="AL51" s="5" t="s">
        <v>29</v>
      </c>
      <c r="AM51" s="4" t="s">
        <v>119</v>
      </c>
    </row>
    <row r="52" spans="1:39" x14ac:dyDescent="0.35">
      <c r="A52" s="5" t="s">
        <v>108</v>
      </c>
      <c r="B52" s="9" t="str">
        <f>VLOOKUP(D52,Auxiliar!A:C,2,0)</f>
        <v>MG SUPERNOSSO</v>
      </c>
      <c r="C52" s="5" t="str">
        <f>VLOOKUP(D52,Auxiliar!A:C,3,0)</f>
        <v>Luiz</v>
      </c>
      <c r="D52" s="9" t="s">
        <v>41</v>
      </c>
      <c r="E52" s="16">
        <v>0.47918846962231976</v>
      </c>
      <c r="F52" s="24">
        <v>405.17223999999999</v>
      </c>
      <c r="G52" s="53">
        <v>18.453810000000001</v>
      </c>
      <c r="H52" s="10">
        <v>386.71843000000001</v>
      </c>
      <c r="I52" s="10">
        <v>249.96963613934838</v>
      </c>
      <c r="J52" s="10">
        <v>194.15386561904725</v>
      </c>
      <c r="K52" s="10">
        <v>12.659297789336801</v>
      </c>
      <c r="L52" s="10">
        <v>8.7168323309643405</v>
      </c>
      <c r="M52" s="10">
        <v>34.439640400000002</v>
      </c>
      <c r="N52" s="11">
        <v>0.03</v>
      </c>
      <c r="O52" s="12">
        <v>0.02</v>
      </c>
      <c r="P52" s="11">
        <v>3.5000000000000003E-2</v>
      </c>
      <c r="Q52" s="35">
        <v>136.74879386065163</v>
      </c>
      <c r="R52" s="12">
        <v>0.35361333531647721</v>
      </c>
      <c r="S52" s="10">
        <v>8.8428529726010616</v>
      </c>
      <c r="T52" s="10">
        <v>4.554559315317358E-2</v>
      </c>
      <c r="U52" s="22">
        <v>1</v>
      </c>
      <c r="V52" s="10">
        <v>33</v>
      </c>
      <c r="W52" s="10">
        <v>12.155167199999999</v>
      </c>
      <c r="X52" s="40">
        <v>91.392579920462339</v>
      </c>
      <c r="Y52" s="39">
        <v>2.7694721188018891</v>
      </c>
      <c r="Z52" s="15">
        <v>0.56418846962231972</v>
      </c>
      <c r="AA52" s="10">
        <v>21.376130120301141</v>
      </c>
      <c r="AB52" s="10">
        <v>2992.2630099999983</v>
      </c>
      <c r="AC52" s="43">
        <v>0.13540662657190694</v>
      </c>
      <c r="AD52" s="43">
        <v>9.1401671431064618E-2</v>
      </c>
      <c r="AE52" s="44">
        <v>3385.1656642976736</v>
      </c>
      <c r="AF52" s="10">
        <v>5331.666666666667</v>
      </c>
      <c r="AG52" s="10">
        <v>4432.8756099999982</v>
      </c>
      <c r="AH52" s="12">
        <v>9.1401671431064618E-2</v>
      </c>
      <c r="AI52" s="10">
        <v>12659.297789336801</v>
      </c>
      <c r="AJ52" s="10">
        <v>8716.8323309643401</v>
      </c>
      <c r="AK52" s="5" t="s">
        <v>29</v>
      </c>
      <c r="AL52" s="5" t="s">
        <v>29</v>
      </c>
      <c r="AM52" s="4" t="s">
        <v>119</v>
      </c>
    </row>
    <row r="53" spans="1:39" x14ac:dyDescent="0.35">
      <c r="A53" s="5" t="s">
        <v>108</v>
      </c>
      <c r="B53" s="9" t="str">
        <f>VLOOKUP(D53,Auxiliar!A:C,2,0)</f>
        <v>MG VERDEMAR</v>
      </c>
      <c r="C53" s="5" t="str">
        <f>VLOOKUP(D53,Auxiliar!A:C,3,0)</f>
        <v>Luiz</v>
      </c>
      <c r="D53" s="9" t="s">
        <v>42</v>
      </c>
      <c r="E53" s="16">
        <v>0.51764178512396697</v>
      </c>
      <c r="F53" s="24">
        <v>148.67000000000002</v>
      </c>
      <c r="G53" s="53">
        <v>37.988970000000002</v>
      </c>
      <c r="H53" s="10">
        <v>110.68103000000002</v>
      </c>
      <c r="I53" s="10">
        <v>103.20748546797418</v>
      </c>
      <c r="J53" s="10">
        <v>76.957804194380174</v>
      </c>
      <c r="K53" s="10">
        <v>5.3706111833550061</v>
      </c>
      <c r="L53" s="10">
        <v>8.2421200902389931</v>
      </c>
      <c r="M53" s="10">
        <v>12.636950000000002</v>
      </c>
      <c r="N53" s="11">
        <v>0.03</v>
      </c>
      <c r="O53" s="12">
        <v>0.02</v>
      </c>
      <c r="P53" s="11">
        <v>3.5000000000000003E-2</v>
      </c>
      <c r="Q53" s="35">
        <v>7.4735445320258407</v>
      </c>
      <c r="R53" s="12">
        <v>6.7523265116215841E-2</v>
      </c>
      <c r="S53" s="10">
        <v>19.664678245820827</v>
      </c>
      <c r="T53" s="10">
        <v>0.2555254590704244</v>
      </c>
      <c r="U53" s="22">
        <v>1</v>
      </c>
      <c r="V53" s="10">
        <v>14</v>
      </c>
      <c r="W53" s="10">
        <v>4.4601000000000006</v>
      </c>
      <c r="X53" s="40">
        <v>129.86192141439076</v>
      </c>
      <c r="Y53" s="39">
        <v>9.2758515295993398</v>
      </c>
      <c r="Z53" s="15">
        <v>0.60264178512396693</v>
      </c>
      <c r="AA53" s="10">
        <v>13.612731273593999</v>
      </c>
      <c r="AB53" s="10">
        <v>2992.2630099999983</v>
      </c>
      <c r="AC53" s="43">
        <v>4.9684803609559743E-2</v>
      </c>
      <c r="AD53" s="43">
        <v>3.3538049131047028E-2</v>
      </c>
      <c r="AE53" s="44">
        <v>1242.1200902389935</v>
      </c>
      <c r="AF53" s="10">
        <v>7000</v>
      </c>
      <c r="AG53" s="10">
        <v>4432.8756099999982</v>
      </c>
      <c r="AH53" s="12">
        <v>3.3538049131047028E-2</v>
      </c>
      <c r="AI53" s="10">
        <v>5370.6111833550058</v>
      </c>
      <c r="AJ53" s="10">
        <v>8242.1200902389937</v>
      </c>
      <c r="AK53" s="5" t="s">
        <v>29</v>
      </c>
      <c r="AL53" s="5" t="s">
        <v>29</v>
      </c>
      <c r="AM53" s="4" t="s">
        <v>119</v>
      </c>
    </row>
    <row r="54" spans="1:39" x14ac:dyDescent="0.35">
      <c r="A54" s="5" t="s">
        <v>108</v>
      </c>
      <c r="B54" s="9" t="str">
        <f>VLOOKUP(D54,Auxiliar!A:C,2,0)</f>
        <v>SP ZAFFARI</v>
      </c>
      <c r="C54" s="5" t="str">
        <f>VLOOKUP(D54,Auxiliar!A:C,3,0)</f>
        <v>Julliano</v>
      </c>
      <c r="D54" s="9" t="s">
        <v>53</v>
      </c>
      <c r="E54" s="16">
        <v>0.6027906058446626</v>
      </c>
      <c r="F54" s="24">
        <v>19.449540000000002</v>
      </c>
      <c r="G54" s="53">
        <v>4.6576000000000004</v>
      </c>
      <c r="H54" s="10">
        <v>14.791940000000002</v>
      </c>
      <c r="I54" s="10">
        <v>17.665893676613173</v>
      </c>
      <c r="J54" s="10">
        <v>11.724</v>
      </c>
      <c r="K54" s="10">
        <v>0.76723016905071517</v>
      </c>
      <c r="L54" s="10">
        <v>2.1599848075624579</v>
      </c>
      <c r="M54" s="10">
        <v>3.014678700000001</v>
      </c>
      <c r="N54" s="11">
        <v>0.1</v>
      </c>
      <c r="O54" s="12">
        <v>0.02</v>
      </c>
      <c r="P54" s="11">
        <v>3.5000000000000003E-2</v>
      </c>
      <c r="Q54" s="35">
        <v>-2.873953676613171</v>
      </c>
      <c r="R54" s="12">
        <v>-0.19429186953254074</v>
      </c>
      <c r="S54" s="10">
        <v>2.8075575257821006</v>
      </c>
      <c r="T54" s="10">
        <v>0.23947095921034636</v>
      </c>
      <c r="U54" s="22">
        <v>1</v>
      </c>
      <c r="V54" s="10">
        <v>2</v>
      </c>
      <c r="W54" s="10">
        <v>1.9449540000000003</v>
      </c>
      <c r="X54" s="40">
        <v>31.315114771100767</v>
      </c>
      <c r="Y54" s="39">
        <v>15.657557385550383</v>
      </c>
      <c r="Z54" s="15">
        <v>0.75779060584466262</v>
      </c>
      <c r="AA54" s="10">
        <v>2.9272149766131732</v>
      </c>
      <c r="AB54" s="10">
        <v>180.08960000000002</v>
      </c>
      <c r="AC54" s="43">
        <v>0.10799924037812289</v>
      </c>
      <c r="AD54" s="43">
        <v>4.3875672838922745E-3</v>
      </c>
      <c r="AE54" s="44">
        <v>2159.9848075624577</v>
      </c>
      <c r="AF54" s="10">
        <v>0</v>
      </c>
      <c r="AG54" s="10">
        <v>4432.8756099999982</v>
      </c>
      <c r="AH54" s="12">
        <v>4.3875672838922745E-3</v>
      </c>
      <c r="AI54" s="10">
        <v>767.23016905071518</v>
      </c>
      <c r="AJ54" s="10">
        <v>2159.9848075624577</v>
      </c>
      <c r="AK54" s="5" t="s">
        <v>130</v>
      </c>
      <c r="AL54" s="5" t="s">
        <v>130</v>
      </c>
      <c r="AM54" s="4" t="s">
        <v>119</v>
      </c>
    </row>
    <row r="55" spans="1:39" x14ac:dyDescent="0.35">
      <c r="A55" s="5" t="s">
        <v>108</v>
      </c>
      <c r="B55" s="9" t="str">
        <f>VLOOKUP(D55,Auxiliar!A:C,2,0)</f>
        <v>RJ ZONA SUL</v>
      </c>
      <c r="C55" s="5" t="str">
        <f>VLOOKUP(D55,Auxiliar!A:C,3,0)</f>
        <v>Luiz</v>
      </c>
      <c r="D55" s="9" t="s">
        <v>48</v>
      </c>
      <c r="E55" s="16">
        <v>0.50025119290627085</v>
      </c>
      <c r="F55" s="24">
        <v>384.56500000000005</v>
      </c>
      <c r="G55" s="53">
        <v>156.31683999999998</v>
      </c>
      <c r="H55" s="10">
        <v>228.24816000000007</v>
      </c>
      <c r="I55" s="10">
        <v>250.24110793227808</v>
      </c>
      <c r="J55" s="10">
        <v>192.37910000000008</v>
      </c>
      <c r="K55" s="10">
        <v>14.960988296488946</v>
      </c>
      <c r="L55" s="10">
        <v>10.212994635789054</v>
      </c>
      <c r="M55" s="10">
        <v>32.68802500000001</v>
      </c>
      <c r="N55" s="11">
        <v>0.03</v>
      </c>
      <c r="O55" s="12">
        <v>0.02</v>
      </c>
      <c r="P55" s="11">
        <v>3.5000000000000003E-2</v>
      </c>
      <c r="Q55" s="35">
        <v>-21.992947932278014</v>
      </c>
      <c r="R55" s="12">
        <v>-9.6355422678009797E-2</v>
      </c>
      <c r="S55" s="10">
        <v>78.197685681338669</v>
      </c>
      <c r="T55" s="10">
        <v>0.40647703249125627</v>
      </c>
      <c r="U55" s="22">
        <v>1</v>
      </c>
      <c r="V55" s="10">
        <v>39</v>
      </c>
      <c r="W55" s="10">
        <v>11.536950000000001</v>
      </c>
      <c r="X55" s="40">
        <v>437.59215175093397</v>
      </c>
      <c r="Y55" s="39">
        <v>11.220311583357281</v>
      </c>
      <c r="Z55" s="15">
        <v>0.58525119290627081</v>
      </c>
      <c r="AA55" s="10">
        <v>25.173982932278001</v>
      </c>
      <c r="AB55" s="10">
        <v>2992.2630099999983</v>
      </c>
      <c r="AC55" s="43">
        <v>0.12851978543156214</v>
      </c>
      <c r="AD55" s="43">
        <v>8.6752941844898776E-2</v>
      </c>
      <c r="AE55" s="44">
        <v>3212.9946357890535</v>
      </c>
      <c r="AF55" s="10">
        <v>6999.9999999999991</v>
      </c>
      <c r="AG55" s="10">
        <v>4432.8756099999982</v>
      </c>
      <c r="AH55" s="12">
        <v>8.6752941844898776E-2</v>
      </c>
      <c r="AI55" s="10">
        <v>14960.988296488946</v>
      </c>
      <c r="AJ55" s="10">
        <v>10212.994635789053</v>
      </c>
      <c r="AK55" s="5" t="s">
        <v>29</v>
      </c>
      <c r="AL55" s="5" t="s">
        <v>29</v>
      </c>
      <c r="AM55" s="4" t="s">
        <v>119</v>
      </c>
    </row>
    <row r="56" spans="1:39" x14ac:dyDescent="0.35">
      <c r="A56" s="5" t="s">
        <v>108</v>
      </c>
      <c r="B56" s="9" t="str">
        <f>VLOOKUP(D56,Auxiliar!A:C,2,0)</f>
        <v>AM Pátio Gourmet</v>
      </c>
      <c r="C56" s="5" t="str">
        <f>VLOOKUP(D56,Auxiliar!A:C,3,0)</f>
        <v>Luisa</v>
      </c>
      <c r="D56" s="9" t="s">
        <v>114</v>
      </c>
      <c r="E56" s="16">
        <v>0</v>
      </c>
      <c r="F56" s="24">
        <v>0</v>
      </c>
      <c r="G56" s="53">
        <v>0</v>
      </c>
      <c r="H56" s="10">
        <v>0</v>
      </c>
      <c r="I56" s="10">
        <v>1.1508452535760727</v>
      </c>
      <c r="J56" s="10">
        <v>0</v>
      </c>
      <c r="K56" s="10">
        <v>1.1508452535760727</v>
      </c>
      <c r="L56" s="10">
        <v>0</v>
      </c>
      <c r="M56" s="10">
        <v>0</v>
      </c>
      <c r="N56" s="11">
        <v>0</v>
      </c>
      <c r="O56" s="12">
        <v>0.02</v>
      </c>
      <c r="P56" s="11">
        <v>3.5000000000000003E-2</v>
      </c>
      <c r="Q56" s="35">
        <v>-1.1508452535760727</v>
      </c>
      <c r="R56" s="12">
        <v>0</v>
      </c>
      <c r="S56" s="10">
        <v>0</v>
      </c>
      <c r="T56" s="10">
        <v>0</v>
      </c>
      <c r="U56" s="22">
        <v>1</v>
      </c>
      <c r="V56" s="10">
        <v>3</v>
      </c>
      <c r="W56" s="10">
        <v>0</v>
      </c>
      <c r="X56" s="40">
        <v>1.2178256651598653</v>
      </c>
      <c r="Y56" s="39">
        <v>0.40594188838662176</v>
      </c>
      <c r="Z56" s="15">
        <v>5.5000000000000007E-2</v>
      </c>
      <c r="AA56" s="10">
        <v>1.1508452535760727</v>
      </c>
      <c r="AB56" s="10">
        <v>0</v>
      </c>
      <c r="AC56" s="43" t="e">
        <v>#DIV/0!</v>
      </c>
      <c r="AD56" s="43">
        <v>0</v>
      </c>
      <c r="AE56" s="44">
        <v>0</v>
      </c>
      <c r="AF56" s="10">
        <v>0</v>
      </c>
      <c r="AG56" s="10">
        <v>4432.8756099999982</v>
      </c>
      <c r="AH56" s="12">
        <v>0</v>
      </c>
      <c r="AI56" s="10">
        <v>1150.8452535760728</v>
      </c>
      <c r="AJ56" s="10">
        <v>0</v>
      </c>
      <c r="AK56" s="5" t="s">
        <v>113</v>
      </c>
      <c r="AL56" s="5" t="s">
        <v>113</v>
      </c>
      <c r="AM56" s="4" t="s">
        <v>119</v>
      </c>
    </row>
    <row r="57" spans="1:39" x14ac:dyDescent="0.35">
      <c r="A57" s="5" t="s">
        <v>108</v>
      </c>
      <c r="B57" s="9" t="str">
        <f>VLOOKUP(D57,Auxiliar!A:C,2,0)</f>
        <v>AC ARASUPER</v>
      </c>
      <c r="C57" s="5" t="str">
        <f>VLOOKUP(D57,Auxiliar!A:C,3,0)</f>
        <v>Luisa</v>
      </c>
      <c r="D57" s="9" t="s">
        <v>115</v>
      </c>
      <c r="E57" s="16">
        <v>0</v>
      </c>
      <c r="F57" s="24">
        <v>0</v>
      </c>
      <c r="G57" s="53">
        <v>0</v>
      </c>
      <c r="H57" s="10">
        <v>0</v>
      </c>
      <c r="I57" s="10">
        <v>0.38361508452535759</v>
      </c>
      <c r="J57" s="10">
        <v>0</v>
      </c>
      <c r="K57" s="10">
        <v>0.38361508452535759</v>
      </c>
      <c r="L57" s="10">
        <v>0</v>
      </c>
      <c r="M57" s="10">
        <v>0</v>
      </c>
      <c r="N57" s="11">
        <v>0</v>
      </c>
      <c r="O57" s="12">
        <v>0.02</v>
      </c>
      <c r="P57" s="11">
        <v>3.5000000000000003E-2</v>
      </c>
      <c r="Q57" s="35">
        <v>-0.38361508452535759</v>
      </c>
      <c r="R57" s="12">
        <v>0</v>
      </c>
      <c r="S57" s="10">
        <v>0</v>
      </c>
      <c r="T57" s="10">
        <v>0</v>
      </c>
      <c r="U57" s="22">
        <v>1</v>
      </c>
      <c r="V57" s="10">
        <v>1</v>
      </c>
      <c r="W57" s="10">
        <v>0</v>
      </c>
      <c r="X57" s="40">
        <v>0.40594188838662182</v>
      </c>
      <c r="Y57" s="39">
        <v>0.40594188838662182</v>
      </c>
      <c r="Z57" s="15">
        <v>5.5000000000000007E-2</v>
      </c>
      <c r="AA57" s="10">
        <v>0.38361508452535759</v>
      </c>
      <c r="AB57" s="10">
        <v>0</v>
      </c>
      <c r="AC57" s="43" t="e">
        <v>#DIV/0!</v>
      </c>
      <c r="AD57" s="43">
        <v>0</v>
      </c>
      <c r="AE57" s="44">
        <v>0</v>
      </c>
      <c r="AF57" s="10">
        <v>0</v>
      </c>
      <c r="AG57" s="10">
        <v>4432.8756099999982</v>
      </c>
      <c r="AH57" s="12">
        <v>0</v>
      </c>
      <c r="AI57" s="10">
        <v>383.61508452535759</v>
      </c>
      <c r="AJ57" s="10">
        <v>0</v>
      </c>
      <c r="AK57" s="5" t="s">
        <v>113</v>
      </c>
      <c r="AL57" s="5" t="s">
        <v>113</v>
      </c>
      <c r="AM57" s="4" t="s">
        <v>119</v>
      </c>
    </row>
    <row r="58" spans="1:39" x14ac:dyDescent="0.35">
      <c r="A58" s="5" t="s">
        <v>108</v>
      </c>
      <c r="B58" s="9" t="str">
        <f>VLOOKUP(D58,Auxiliar!A:C,2,0)</f>
        <v>RS Supermercado Apolo</v>
      </c>
      <c r="C58" s="5" t="str">
        <f>VLOOKUP(D58,Auxiliar!A:C,3,0)</f>
        <v>Luisa</v>
      </c>
      <c r="D58" s="9" t="s">
        <v>116</v>
      </c>
      <c r="E58" s="16">
        <v>0</v>
      </c>
      <c r="F58" s="24">
        <v>0</v>
      </c>
      <c r="G58" s="53">
        <v>0</v>
      </c>
      <c r="H58" s="10">
        <v>0</v>
      </c>
      <c r="I58" s="10">
        <v>0.38361508452535759</v>
      </c>
      <c r="J58" s="10">
        <v>0</v>
      </c>
      <c r="K58" s="10">
        <v>0.38361508452535759</v>
      </c>
      <c r="L58" s="10">
        <v>0</v>
      </c>
      <c r="M58" s="10">
        <v>0</v>
      </c>
      <c r="N58" s="11">
        <v>0</v>
      </c>
      <c r="O58" s="12">
        <v>0.02</v>
      </c>
      <c r="P58" s="11">
        <v>3.5000000000000003E-2</v>
      </c>
      <c r="Q58" s="35">
        <v>-0.38361508452535759</v>
      </c>
      <c r="R58" s="12">
        <v>0</v>
      </c>
      <c r="S58" s="10">
        <v>0</v>
      </c>
      <c r="T58" s="10">
        <v>0</v>
      </c>
      <c r="U58" s="22">
        <v>1</v>
      </c>
      <c r="V58" s="10">
        <v>1</v>
      </c>
      <c r="W58" s="10">
        <v>0</v>
      </c>
      <c r="X58" s="40">
        <v>0.40594188838662182</v>
      </c>
      <c r="Y58" s="39">
        <v>0.40594188838662182</v>
      </c>
      <c r="Z58" s="15">
        <v>5.5000000000000007E-2</v>
      </c>
      <c r="AA58" s="10">
        <v>0.38361508452535759</v>
      </c>
      <c r="AB58" s="10">
        <v>0</v>
      </c>
      <c r="AC58" s="43" t="e">
        <v>#DIV/0!</v>
      </c>
      <c r="AD58" s="43">
        <v>0</v>
      </c>
      <c r="AE58" s="44">
        <v>0</v>
      </c>
      <c r="AF58" s="10">
        <v>0</v>
      </c>
      <c r="AG58" s="10">
        <v>4432.8756099999982</v>
      </c>
      <c r="AH58" s="12">
        <v>0</v>
      </c>
      <c r="AI58" s="10">
        <v>383.61508452535759</v>
      </c>
      <c r="AJ58" s="10">
        <v>0</v>
      </c>
      <c r="AK58" s="5" t="s">
        <v>113</v>
      </c>
      <c r="AL58" s="5" t="s">
        <v>113</v>
      </c>
      <c r="AM58" s="4" t="s">
        <v>119</v>
      </c>
    </row>
    <row r="59" spans="1:39" x14ac:dyDescent="0.35">
      <c r="A59" s="5" t="s">
        <v>108</v>
      </c>
      <c r="B59" s="9" t="str">
        <f>VLOOKUP(D59,Auxiliar!A:C,2,0)</f>
        <v>AC ARASUPER</v>
      </c>
      <c r="C59" s="5" t="str">
        <f>VLOOKUP(D59,Auxiliar!A:C,3,0)</f>
        <v>Luisa</v>
      </c>
      <c r="D59" s="9" t="s">
        <v>117</v>
      </c>
      <c r="E59" s="16">
        <v>0</v>
      </c>
      <c r="F59" s="24">
        <v>0</v>
      </c>
      <c r="G59" s="53">
        <v>0</v>
      </c>
      <c r="H59" s="10">
        <v>0</v>
      </c>
      <c r="I59" s="10">
        <v>0.38361508452535759</v>
      </c>
      <c r="J59" s="10">
        <v>0</v>
      </c>
      <c r="K59" s="10">
        <v>0.38361508452535759</v>
      </c>
      <c r="L59" s="10">
        <v>0</v>
      </c>
      <c r="M59" s="10">
        <v>0</v>
      </c>
      <c r="N59" s="11">
        <v>0</v>
      </c>
      <c r="O59" s="12">
        <v>0.02</v>
      </c>
      <c r="P59" s="11">
        <v>3.5000000000000003E-2</v>
      </c>
      <c r="Q59" s="35">
        <v>-0.38361508452535759</v>
      </c>
      <c r="R59" s="12">
        <v>0</v>
      </c>
      <c r="S59" s="10">
        <v>0</v>
      </c>
      <c r="T59" s="10">
        <v>0</v>
      </c>
      <c r="U59" s="22">
        <v>1</v>
      </c>
      <c r="V59" s="10">
        <v>1</v>
      </c>
      <c r="W59" s="10">
        <v>0</v>
      </c>
      <c r="X59" s="40">
        <v>0.40594188838662182</v>
      </c>
      <c r="Y59" s="39">
        <v>0.40594188838662182</v>
      </c>
      <c r="Z59" s="15">
        <v>5.5000000000000007E-2</v>
      </c>
      <c r="AA59" s="10">
        <v>0.38361508452535759</v>
      </c>
      <c r="AB59" s="10">
        <v>0</v>
      </c>
      <c r="AC59" s="43" t="e">
        <v>#DIV/0!</v>
      </c>
      <c r="AD59" s="43">
        <v>0</v>
      </c>
      <c r="AE59" s="44">
        <v>0</v>
      </c>
      <c r="AF59" s="10">
        <v>0</v>
      </c>
      <c r="AG59" s="10">
        <v>4432.8756099999982</v>
      </c>
      <c r="AH59" s="12">
        <v>0</v>
      </c>
      <c r="AI59" s="10">
        <v>383.61508452535759</v>
      </c>
      <c r="AJ59" s="10">
        <v>0</v>
      </c>
      <c r="AK59" s="5" t="s">
        <v>113</v>
      </c>
      <c r="AL59" s="5" t="s">
        <v>113</v>
      </c>
      <c r="AM59" s="4" t="s">
        <v>119</v>
      </c>
    </row>
    <row r="60" spans="1:39" x14ac:dyDescent="0.35">
      <c r="A60" s="5" t="s">
        <v>108</v>
      </c>
      <c r="B60" s="9" t="str">
        <f>VLOOKUP(D60,Auxiliar!A:C,2,0)</f>
        <v>MG SUPERMERCADO MONTEREY</v>
      </c>
      <c r="C60" s="5" t="str">
        <f>VLOOKUP(D60,Auxiliar!A:C,3,0)</f>
        <v>Luisa</v>
      </c>
      <c r="D60" s="9" t="s">
        <v>118</v>
      </c>
      <c r="E60" s="16">
        <v>0.54407828603955488</v>
      </c>
      <c r="F60" s="24">
        <v>0</v>
      </c>
      <c r="G60" s="53">
        <v>0</v>
      </c>
      <c r="H60" s="10">
        <v>0</v>
      </c>
      <c r="I60" s="10">
        <v>0.38361508452535759</v>
      </c>
      <c r="J60" s="10">
        <v>0</v>
      </c>
      <c r="K60" s="10">
        <v>0.38361508452535759</v>
      </c>
      <c r="L60" s="10">
        <v>0</v>
      </c>
      <c r="M60" s="10">
        <v>0</v>
      </c>
      <c r="N60" s="11">
        <v>0</v>
      </c>
      <c r="O60" s="12">
        <v>0.02</v>
      </c>
      <c r="P60" s="11">
        <v>3.5000000000000003E-2</v>
      </c>
      <c r="Q60" s="35">
        <v>-0.38361508452535759</v>
      </c>
      <c r="R60" s="12">
        <v>0</v>
      </c>
      <c r="S60" s="10">
        <v>0</v>
      </c>
      <c r="T60" s="10">
        <v>0</v>
      </c>
      <c r="U60" s="22">
        <v>1</v>
      </c>
      <c r="V60" s="10">
        <v>1</v>
      </c>
      <c r="W60" s="10">
        <v>0</v>
      </c>
      <c r="X60" s="40">
        <v>0.95683289571890096</v>
      </c>
      <c r="Y60" s="39">
        <v>0.95683289571890096</v>
      </c>
      <c r="Z60" s="15">
        <v>0.59907828603955493</v>
      </c>
      <c r="AA60" s="10">
        <v>0.38361508452535759</v>
      </c>
      <c r="AB60" s="10">
        <v>0</v>
      </c>
      <c r="AC60" s="43" t="e">
        <v>#DIV/0!</v>
      </c>
      <c r="AD60" s="43">
        <v>0</v>
      </c>
      <c r="AE60" s="44">
        <v>0</v>
      </c>
      <c r="AF60" s="10">
        <v>0</v>
      </c>
      <c r="AG60" s="10">
        <v>4432.8756099999982</v>
      </c>
      <c r="AH60" s="12">
        <v>0</v>
      </c>
      <c r="AI60" s="10">
        <v>383.61508452535759</v>
      </c>
      <c r="AJ60" s="10">
        <v>0</v>
      </c>
      <c r="AK60" s="5" t="s">
        <v>113</v>
      </c>
      <c r="AL60" s="5" t="s">
        <v>113</v>
      </c>
      <c r="AM60" s="4" t="s">
        <v>119</v>
      </c>
    </row>
    <row r="61" spans="1:39" x14ac:dyDescent="0.35">
      <c r="A61" s="5" t="s">
        <v>108</v>
      </c>
      <c r="B61" s="9" t="str">
        <f>VLOOKUP(D61,Auxiliar!A:C,2,0)</f>
        <v>RJ ZONA SUL - Me Bebe</v>
      </c>
      <c r="C61" s="5" t="str">
        <f>VLOOKUP(D61,Auxiliar!A:C,3,0)</f>
        <v>Luiz</v>
      </c>
      <c r="D61" s="9" t="s">
        <v>73</v>
      </c>
      <c r="E61" s="16">
        <v>0.48973809523809525</v>
      </c>
      <c r="F61" s="24">
        <v>125.99999999999999</v>
      </c>
      <c r="G61" s="53">
        <v>31.638999999999999</v>
      </c>
      <c r="H61" s="10">
        <v>94.36099999999999</v>
      </c>
      <c r="I61" s="10">
        <v>73.469714948342713</v>
      </c>
      <c r="J61" s="10">
        <v>61.706999999999994</v>
      </c>
      <c r="K61" s="10">
        <v>0</v>
      </c>
      <c r="L61" s="10">
        <v>1.0527149483427265</v>
      </c>
      <c r="M61" s="10">
        <v>10.709999999999999</v>
      </c>
      <c r="N61" s="11">
        <v>0.03</v>
      </c>
      <c r="O61" s="12">
        <v>0.02</v>
      </c>
      <c r="P61" s="11">
        <v>3.5000000000000003E-2</v>
      </c>
      <c r="Q61" s="35">
        <v>20.891285051657277</v>
      </c>
      <c r="R61" s="12">
        <v>0.2213974528847435</v>
      </c>
      <c r="S61" s="10">
        <v>15.494823595238095</v>
      </c>
      <c r="T61" s="10">
        <v>0.25110317460317461</v>
      </c>
      <c r="U61" s="22">
        <v>1</v>
      </c>
      <c r="V61" s="10">
        <v>0</v>
      </c>
      <c r="W61" s="10">
        <v>3.7799999999999994</v>
      </c>
      <c r="X61" s="40">
        <v>76.8743087078212</v>
      </c>
      <c r="Y61" s="39">
        <v>76.8743087078212</v>
      </c>
      <c r="Z61" s="15">
        <v>0.57473809523809527</v>
      </c>
      <c r="AA61" s="10">
        <v>1.0527149483427265</v>
      </c>
      <c r="AB61" s="10">
        <v>2992.2630099999983</v>
      </c>
      <c r="AC61" s="43">
        <v>4.2108597933709059E-2</v>
      </c>
      <c r="AD61" s="43">
        <v>2.8423987290723918E-2</v>
      </c>
      <c r="AE61" s="44">
        <v>1052.7149483427265</v>
      </c>
      <c r="AF61" s="10">
        <v>0</v>
      </c>
      <c r="AG61" s="10">
        <v>4432.8756099999982</v>
      </c>
      <c r="AH61" s="12">
        <v>2.8423987290723918E-2</v>
      </c>
      <c r="AI61" s="10">
        <v>0</v>
      </c>
      <c r="AJ61" s="10">
        <v>1052.7149483427265</v>
      </c>
      <c r="AK61" s="5" t="s">
        <v>29</v>
      </c>
      <c r="AL61" s="5" t="s">
        <v>29</v>
      </c>
      <c r="AM61" s="4" t="s">
        <v>119</v>
      </c>
    </row>
    <row r="62" spans="1:39" x14ac:dyDescent="0.35">
      <c r="A62" s="5" t="s">
        <v>108</v>
      </c>
      <c r="B62" s="9" t="str">
        <f>VLOOKUP(D62,Auxiliar!A:C,2,0)</f>
        <v>PR MUFFATO</v>
      </c>
      <c r="C62" s="5" t="str">
        <f>VLOOKUP(D62,Auxiliar!A:C,3,0)</f>
        <v>Luiz</v>
      </c>
      <c r="D62" s="9" t="s">
        <v>47</v>
      </c>
      <c r="E62" s="16">
        <v>0</v>
      </c>
      <c r="F62" s="24">
        <v>0</v>
      </c>
      <c r="G62" s="53">
        <v>14.077999999999999</v>
      </c>
      <c r="H62" s="10">
        <v>-14.077999999999999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1">
        <v>7.9000000000000001E-2</v>
      </c>
      <c r="O62" s="12">
        <v>0.02</v>
      </c>
      <c r="P62" s="11">
        <v>3.5000000000000003E-2</v>
      </c>
      <c r="Q62" s="35">
        <v>-14.077999999999999</v>
      </c>
      <c r="R62" s="12">
        <v>1</v>
      </c>
      <c r="S62" s="10">
        <v>0</v>
      </c>
      <c r="T62" s="10">
        <v>0</v>
      </c>
      <c r="U62" s="22">
        <v>1</v>
      </c>
      <c r="V62" s="10">
        <v>0</v>
      </c>
      <c r="W62" s="10">
        <v>0</v>
      </c>
      <c r="X62" s="40">
        <v>16.25635103926097</v>
      </c>
      <c r="Y62" s="39">
        <v>16.25635103926097</v>
      </c>
      <c r="Z62" s="15">
        <v>0.13400000000000001</v>
      </c>
      <c r="AA62" s="10">
        <v>0</v>
      </c>
      <c r="AB62" s="10">
        <v>2992.2630099999983</v>
      </c>
      <c r="AC62" s="43">
        <v>0</v>
      </c>
      <c r="AD62" s="43">
        <v>0</v>
      </c>
      <c r="AE62" s="44">
        <v>0</v>
      </c>
      <c r="AF62" s="10">
        <v>0</v>
      </c>
      <c r="AG62" s="10">
        <v>4432.8756099999982</v>
      </c>
      <c r="AH62" s="12">
        <v>0</v>
      </c>
      <c r="AI62" s="10">
        <v>0</v>
      </c>
      <c r="AJ62" s="10">
        <v>0</v>
      </c>
      <c r="AK62" s="5" t="s">
        <v>29</v>
      </c>
      <c r="AL62" s="5" t="s">
        <v>29</v>
      </c>
      <c r="AM62" s="4" t="s">
        <v>119</v>
      </c>
    </row>
    <row r="63" spans="1:39" x14ac:dyDescent="0.35">
      <c r="A63" s="5" t="s">
        <v>108</v>
      </c>
      <c r="B63" s="9" t="str">
        <f>VLOOKUP(D63,Auxiliar!A:C,2,0)</f>
        <v>SP CONFIANÇA</v>
      </c>
      <c r="C63" s="5" t="str">
        <f>VLOOKUP(D63,Auxiliar!A:C,3,0)</f>
        <v>Julliano</v>
      </c>
      <c r="D63" s="9" t="s">
        <v>120</v>
      </c>
      <c r="E63" s="16">
        <v>0.46930422070853151</v>
      </c>
      <c r="F63" s="24">
        <v>25.720800000000004</v>
      </c>
      <c r="G63" s="53">
        <v>0</v>
      </c>
      <c r="H63" s="10">
        <v>25.720800000000004</v>
      </c>
      <c r="I63" s="10">
        <v>18.399632791925796</v>
      </c>
      <c r="J63" s="10">
        <v>12.070879999999999</v>
      </c>
      <c r="K63" s="10">
        <v>0</v>
      </c>
      <c r="L63" s="10">
        <v>2.8564447919257971</v>
      </c>
      <c r="M63" s="10">
        <v>3.4723080000000008</v>
      </c>
      <c r="N63" s="11">
        <v>0.08</v>
      </c>
      <c r="O63" s="12">
        <v>0.02</v>
      </c>
      <c r="P63" s="11">
        <v>3.5000000000000003E-2</v>
      </c>
      <c r="Q63" s="35">
        <v>7.3211672080742076</v>
      </c>
      <c r="R63" s="12">
        <v>0.2846399493046175</v>
      </c>
      <c r="S63" s="10">
        <v>0</v>
      </c>
      <c r="T63" s="10">
        <v>0</v>
      </c>
      <c r="U63" s="22">
        <v>1</v>
      </c>
      <c r="V63" s="10">
        <v>0</v>
      </c>
      <c r="W63" s="10">
        <v>2.0576640000000004</v>
      </c>
      <c r="X63" s="40">
        <v>7.2187901448949932</v>
      </c>
      <c r="Y63" s="39">
        <v>7.2187901448949932</v>
      </c>
      <c r="Z63" s="15">
        <v>0.60430422070853151</v>
      </c>
      <c r="AA63" s="10">
        <v>2.8564447919257971</v>
      </c>
      <c r="AB63" s="10">
        <v>180.08960000000002</v>
      </c>
      <c r="AC63" s="43">
        <v>0.14282223959628987</v>
      </c>
      <c r="AD63" s="43">
        <v>5.8022832722797778E-3</v>
      </c>
      <c r="AE63" s="44">
        <v>2856.4447919257973</v>
      </c>
      <c r="AF63" s="10">
        <v>0</v>
      </c>
      <c r="AG63" s="10">
        <v>4432.8756099999982</v>
      </c>
      <c r="AH63" s="12">
        <v>5.8022832722797778E-3</v>
      </c>
      <c r="AI63" s="10">
        <v>0</v>
      </c>
      <c r="AJ63" s="10">
        <v>2856.4447919257973</v>
      </c>
      <c r="AK63" s="5" t="s">
        <v>130</v>
      </c>
      <c r="AL63" s="5" t="s">
        <v>130</v>
      </c>
      <c r="AM63" s="4" t="s">
        <v>119</v>
      </c>
    </row>
    <row r="64" spans="1:39" x14ac:dyDescent="0.35">
      <c r="A64" s="5" t="s">
        <v>108</v>
      </c>
      <c r="B64" s="9" t="str">
        <f>VLOOKUP(D64,Auxiliar!A:C,2,0)</f>
        <v>PE MATEUS</v>
      </c>
      <c r="C64" s="5" t="str">
        <f>VLOOKUP(D64,Auxiliar!A:C,3,0)</f>
        <v>Luiz</v>
      </c>
      <c r="D64" s="9" t="s">
        <v>121</v>
      </c>
      <c r="E64" s="16">
        <v>0.46505709739317658</v>
      </c>
      <c r="F64" s="24">
        <v>20.512319999999999</v>
      </c>
      <c r="G64" s="53">
        <v>0</v>
      </c>
      <c r="H64" s="10">
        <v>20.512319999999999</v>
      </c>
      <c r="I64" s="10">
        <v>11.454325183247541</v>
      </c>
      <c r="J64" s="10">
        <v>9.5394000000000041</v>
      </c>
      <c r="K64" s="10">
        <v>0</v>
      </c>
      <c r="L64" s="10">
        <v>0.17137798324753556</v>
      </c>
      <c r="M64" s="10">
        <v>1.7435472000000001</v>
      </c>
      <c r="N64" s="11">
        <v>0.03</v>
      </c>
      <c r="O64" s="12">
        <v>0.02</v>
      </c>
      <c r="P64" s="11">
        <v>3.5000000000000003E-2</v>
      </c>
      <c r="Q64" s="35">
        <v>9.0579948167524584</v>
      </c>
      <c r="R64" s="12">
        <v>0.44158802206442072</v>
      </c>
      <c r="S64" s="10">
        <v>0</v>
      </c>
      <c r="T64" s="10">
        <v>0</v>
      </c>
      <c r="U64" s="22">
        <v>1</v>
      </c>
      <c r="V64" s="10">
        <v>0</v>
      </c>
      <c r="W64" s="10">
        <v>0.61536959999999996</v>
      </c>
      <c r="X64" s="40">
        <v>0.38088829105788097</v>
      </c>
      <c r="Y64" s="39">
        <v>0.38088829105788097</v>
      </c>
      <c r="Z64" s="15">
        <v>0.55005709739317654</v>
      </c>
      <c r="AA64" s="10">
        <v>0.17137798324753556</v>
      </c>
      <c r="AB64" s="10">
        <v>2992.2630099999983</v>
      </c>
      <c r="AC64" s="43">
        <v>6.8551193299014219E-3</v>
      </c>
      <c r="AD64" s="43">
        <v>4.6273168490735088E-3</v>
      </c>
      <c r="AE64" s="44">
        <v>171.37798324753555</v>
      </c>
      <c r="AF64" s="10">
        <v>0</v>
      </c>
      <c r="AG64" s="10">
        <v>4432.8756099999982</v>
      </c>
      <c r="AH64" s="12">
        <v>4.6273168490735088E-3</v>
      </c>
      <c r="AI64" s="10">
        <v>0</v>
      </c>
      <c r="AJ64" s="10">
        <v>171.37798324753555</v>
      </c>
      <c r="AK64" s="5" t="s">
        <v>29</v>
      </c>
      <c r="AL64" s="5" t="s">
        <v>29</v>
      </c>
      <c r="AM64" s="4" t="s">
        <v>119</v>
      </c>
    </row>
    <row r="65" spans="1:39" x14ac:dyDescent="0.35">
      <c r="A65" s="5" t="s">
        <v>108</v>
      </c>
      <c r="B65" s="9" t="str">
        <f>VLOOKUP(D65,Auxiliar!A:C,2,0)</f>
        <v>MG ABC</v>
      </c>
      <c r="C65" s="5" t="str">
        <f>VLOOKUP(D65,Auxiliar!A:C,3,0)</f>
        <v>Luisa</v>
      </c>
      <c r="D65" s="9" t="s">
        <v>9</v>
      </c>
      <c r="E65" s="16">
        <v>0</v>
      </c>
      <c r="F65" s="24">
        <v>0</v>
      </c>
      <c r="G65" s="53">
        <v>0</v>
      </c>
      <c r="H65" s="10">
        <v>0</v>
      </c>
      <c r="I65" s="10">
        <v>5.6266043478260865</v>
      </c>
      <c r="J65" s="10">
        <v>0</v>
      </c>
      <c r="K65" s="10">
        <v>4.8913043478260869</v>
      </c>
      <c r="L65" s="10">
        <v>0.73530000000000006</v>
      </c>
      <c r="M65" s="10">
        <v>0</v>
      </c>
      <c r="N65" s="11">
        <v>0.03</v>
      </c>
      <c r="O65" s="12">
        <v>0.02</v>
      </c>
      <c r="P65" s="11">
        <v>3.5000000000000003E-2</v>
      </c>
      <c r="Q65" s="35">
        <v>-5.6266043478260865</v>
      </c>
      <c r="R65" s="12">
        <v>0</v>
      </c>
      <c r="S65" s="10">
        <v>0</v>
      </c>
      <c r="T65" s="10">
        <v>0</v>
      </c>
      <c r="U65" s="22">
        <v>1</v>
      </c>
      <c r="V65" s="10">
        <v>9</v>
      </c>
      <c r="W65" s="10">
        <v>0</v>
      </c>
      <c r="X65" s="40">
        <v>6.1492943692088371</v>
      </c>
      <c r="Y65" s="39">
        <v>0.68325492991209302</v>
      </c>
      <c r="Z65" s="15">
        <v>8.5000000000000006E-2</v>
      </c>
      <c r="AA65" s="10">
        <v>5.6266043478260865</v>
      </c>
      <c r="AB65" s="10">
        <v>149.25999999999996</v>
      </c>
      <c r="AC65" s="43">
        <v>0</v>
      </c>
      <c r="AD65" s="43">
        <v>0</v>
      </c>
      <c r="AE65" s="44">
        <v>0</v>
      </c>
      <c r="AF65" s="10">
        <v>735.30000000000007</v>
      </c>
      <c r="AG65" s="10">
        <v>5434.6991599999992</v>
      </c>
      <c r="AH65" s="12">
        <v>0</v>
      </c>
      <c r="AI65" s="10">
        <v>4891.304347826087</v>
      </c>
      <c r="AJ65" s="10">
        <v>735.30000000000007</v>
      </c>
      <c r="AK65" s="5" t="s">
        <v>113</v>
      </c>
      <c r="AL65" s="5" t="s">
        <v>113</v>
      </c>
      <c r="AM65" s="4" t="s">
        <v>133</v>
      </c>
    </row>
    <row r="66" spans="1:39" x14ac:dyDescent="0.35">
      <c r="A66" s="5" t="s">
        <v>108</v>
      </c>
      <c r="B66" s="9" t="str">
        <f>VLOOKUP(D66,Auxiliar!A:C,2,0)</f>
        <v>MG BEM HORTIFRUT</v>
      </c>
      <c r="C66" s="5" t="str">
        <f>VLOOKUP(D66,Auxiliar!A:C,3,0)</f>
        <v>Luisa</v>
      </c>
      <c r="D66" s="9" t="s">
        <v>10</v>
      </c>
      <c r="E66" s="16">
        <v>0.48577101428320613</v>
      </c>
      <c r="F66" s="24">
        <v>0</v>
      </c>
      <c r="G66" s="53">
        <v>0</v>
      </c>
      <c r="H66" s="10">
        <v>0</v>
      </c>
      <c r="I66" s="10">
        <v>8.3172975386504433</v>
      </c>
      <c r="J66" s="10">
        <v>0</v>
      </c>
      <c r="K66" s="10">
        <v>6.5217391304347831</v>
      </c>
      <c r="L66" s="10">
        <v>1.795558408215661</v>
      </c>
      <c r="M66" s="10">
        <v>0</v>
      </c>
      <c r="N66" s="11">
        <v>0</v>
      </c>
      <c r="O66" s="12">
        <v>0.02</v>
      </c>
      <c r="P66" s="11">
        <v>3.5000000000000003E-2</v>
      </c>
      <c r="Q66" s="35">
        <v>-8.3172975386504433</v>
      </c>
      <c r="R66" s="12">
        <v>0</v>
      </c>
      <c r="S66" s="10">
        <v>0</v>
      </c>
      <c r="T66" s="10">
        <v>0</v>
      </c>
      <c r="U66" s="22">
        <v>1</v>
      </c>
      <c r="V66" s="10">
        <v>12</v>
      </c>
      <c r="W66" s="10">
        <v>0</v>
      </c>
      <c r="X66" s="40">
        <v>18.111438513987256</v>
      </c>
      <c r="Y66" s="39">
        <v>1.5092865428322713</v>
      </c>
      <c r="Z66" s="15">
        <v>0.54077101428320618</v>
      </c>
      <c r="AA66" s="10">
        <v>8.3172975386504433</v>
      </c>
      <c r="AB66" s="10">
        <v>149.25999999999996</v>
      </c>
      <c r="AC66" s="43">
        <v>0</v>
      </c>
      <c r="AD66" s="43">
        <v>0</v>
      </c>
      <c r="AE66" s="44">
        <v>0</v>
      </c>
      <c r="AF66" s="10">
        <v>1795.5584082156611</v>
      </c>
      <c r="AG66" s="10">
        <v>5434.6991599999992</v>
      </c>
      <c r="AH66" s="12">
        <v>0</v>
      </c>
      <c r="AI66" s="10">
        <v>6521.739130434783</v>
      </c>
      <c r="AJ66" s="10">
        <v>1795.5584082156611</v>
      </c>
      <c r="AK66" s="5" t="s">
        <v>113</v>
      </c>
      <c r="AL66" s="5" t="s">
        <v>113</v>
      </c>
      <c r="AM66" s="4" t="s">
        <v>133</v>
      </c>
    </row>
    <row r="67" spans="1:39" x14ac:dyDescent="0.35">
      <c r="A67" s="5" t="s">
        <v>108</v>
      </c>
      <c r="B67" s="9" t="str">
        <f>VLOOKUP(D67,Auxiliar!A:C,2,0)</f>
        <v>MT BIG LAR</v>
      </c>
      <c r="C67" s="5" t="str">
        <f>VLOOKUP(D67,Auxiliar!A:C,3,0)</f>
        <v>Luisa</v>
      </c>
      <c r="D67" s="9" t="s">
        <v>17</v>
      </c>
      <c r="E67" s="16">
        <v>0</v>
      </c>
      <c r="F67" s="24">
        <v>0</v>
      </c>
      <c r="G67" s="53">
        <v>0</v>
      </c>
      <c r="H67" s="10">
        <v>0</v>
      </c>
      <c r="I67" s="10">
        <v>1.3369565217391306</v>
      </c>
      <c r="J67" s="10">
        <v>0</v>
      </c>
      <c r="K67" s="10">
        <v>1.0869565217391306</v>
      </c>
      <c r="L67" s="10">
        <v>0.25</v>
      </c>
      <c r="M67" s="10">
        <v>0</v>
      </c>
      <c r="N67" s="11">
        <v>0</v>
      </c>
      <c r="O67" s="12">
        <v>0.02</v>
      </c>
      <c r="P67" s="11">
        <v>3.5000000000000003E-2</v>
      </c>
      <c r="Q67" s="35">
        <v>-1.3369565217391306</v>
      </c>
      <c r="R67" s="12">
        <v>0</v>
      </c>
      <c r="S67" s="10">
        <v>0</v>
      </c>
      <c r="T67" s="10">
        <v>0</v>
      </c>
      <c r="U67" s="22">
        <v>1</v>
      </c>
      <c r="V67" s="10">
        <v>2</v>
      </c>
      <c r="W67" s="10">
        <v>0</v>
      </c>
      <c r="X67" s="40">
        <v>1.4147688060731543</v>
      </c>
      <c r="Y67" s="39">
        <v>0.70738440303657713</v>
      </c>
      <c r="Z67" s="15">
        <v>5.5000000000000007E-2</v>
      </c>
      <c r="AA67" s="10">
        <v>1.3369565217391306</v>
      </c>
      <c r="AB67" s="10">
        <v>3099.8139599999995</v>
      </c>
      <c r="AC67" s="43">
        <v>0</v>
      </c>
      <c r="AD67" s="43">
        <v>0</v>
      </c>
      <c r="AE67" s="44">
        <v>0</v>
      </c>
      <c r="AF67" s="10">
        <v>250</v>
      </c>
      <c r="AG67" s="10">
        <v>5434.6991599999992</v>
      </c>
      <c r="AH67" s="12">
        <v>0</v>
      </c>
      <c r="AI67" s="10">
        <v>1086.9565217391305</v>
      </c>
      <c r="AJ67" s="10">
        <v>250</v>
      </c>
      <c r="AK67" s="5" t="s">
        <v>113</v>
      </c>
      <c r="AL67" s="5" t="s">
        <v>29</v>
      </c>
      <c r="AM67" s="4" t="s">
        <v>133</v>
      </c>
    </row>
    <row r="68" spans="1:39" x14ac:dyDescent="0.35">
      <c r="A68" s="5" t="s">
        <v>108</v>
      </c>
      <c r="B68" s="9" t="str">
        <f>VLOOKUP(D68,Auxiliar!A:C,2,0)</f>
        <v>MT BOM GOSTO</v>
      </c>
      <c r="C68" s="5" t="str">
        <f>VLOOKUP(D68,Auxiliar!A:C,3,0)</f>
        <v>Luisa</v>
      </c>
      <c r="D68" s="9" t="s">
        <v>60</v>
      </c>
      <c r="E68" s="16">
        <v>0</v>
      </c>
      <c r="F68" s="24">
        <v>0</v>
      </c>
      <c r="G68" s="53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1">
        <v>0</v>
      </c>
      <c r="O68" s="12">
        <v>0.02</v>
      </c>
      <c r="P68" s="11">
        <v>3.5000000000000003E-2</v>
      </c>
      <c r="Q68" s="35">
        <v>0</v>
      </c>
      <c r="R68" s="12">
        <v>0</v>
      </c>
      <c r="S68" s="10">
        <v>0</v>
      </c>
      <c r="T68" s="10">
        <v>0</v>
      </c>
      <c r="U68" s="22">
        <v>1</v>
      </c>
      <c r="V68" s="10">
        <v>0</v>
      </c>
      <c r="W68" s="10">
        <v>0</v>
      </c>
      <c r="X68" s="40">
        <v>0</v>
      </c>
      <c r="Y68" s="39">
        <v>0</v>
      </c>
      <c r="Z68" s="15">
        <v>5.5000000000000007E-2</v>
      </c>
      <c r="AA68" s="10">
        <v>0</v>
      </c>
      <c r="AB68" s="10">
        <v>149.25999999999996</v>
      </c>
      <c r="AC68" s="43">
        <v>0</v>
      </c>
      <c r="AD68" s="43">
        <v>0</v>
      </c>
      <c r="AE68" s="44">
        <v>0</v>
      </c>
      <c r="AF68" s="10">
        <v>0</v>
      </c>
      <c r="AG68" s="10">
        <v>5434.6991599999992</v>
      </c>
      <c r="AH68" s="12">
        <v>0</v>
      </c>
      <c r="AI68" s="10">
        <v>0</v>
      </c>
      <c r="AJ68" s="10">
        <v>0</v>
      </c>
      <c r="AK68" s="5" t="s">
        <v>113</v>
      </c>
      <c r="AL68" s="5" t="s">
        <v>113</v>
      </c>
      <c r="AM68" s="4" t="s">
        <v>133</v>
      </c>
    </row>
    <row r="69" spans="1:39" x14ac:dyDescent="0.35">
      <c r="A69" s="5" t="s">
        <v>108</v>
      </c>
      <c r="B69" s="9" t="str">
        <f>VLOOKUP(D69,Auxiliar!A:C,2,0)</f>
        <v>SP CASA SANTA LUZIA</v>
      </c>
      <c r="C69" s="5" t="str">
        <f>VLOOKUP(D69,Auxiliar!A:C,3,0)</f>
        <v>Julliano</v>
      </c>
      <c r="D69" s="9" t="s">
        <v>19</v>
      </c>
      <c r="E69" s="16">
        <v>0.39118588522216297</v>
      </c>
      <c r="F69" s="24">
        <v>6.2980800000000006</v>
      </c>
      <c r="G69" s="53">
        <v>0</v>
      </c>
      <c r="H69" s="10">
        <v>6.2980800000000006</v>
      </c>
      <c r="I69" s="10">
        <v>3.6597400793329662</v>
      </c>
      <c r="J69" s="10">
        <v>2.4637200000000004</v>
      </c>
      <c r="K69" s="10">
        <v>0.5434782608695653</v>
      </c>
      <c r="L69" s="10">
        <v>0.30614741846340071</v>
      </c>
      <c r="M69" s="10">
        <v>0.3463944000000001</v>
      </c>
      <c r="N69" s="11">
        <v>0</v>
      </c>
      <c r="O69" s="12">
        <v>0.02</v>
      </c>
      <c r="P69" s="11">
        <v>3.5000000000000003E-2</v>
      </c>
      <c r="Q69" s="35">
        <v>2.6383399206670344</v>
      </c>
      <c r="R69" s="12">
        <v>0.41891178274442914</v>
      </c>
      <c r="S69" s="10">
        <v>0</v>
      </c>
      <c r="T69" s="10">
        <v>0</v>
      </c>
      <c r="U69" s="22">
        <v>1</v>
      </c>
      <c r="V69" s="10">
        <v>1</v>
      </c>
      <c r="W69" s="10">
        <v>0</v>
      </c>
      <c r="X69" s="40">
        <v>1.5341351125978324</v>
      </c>
      <c r="Y69" s="39">
        <v>1.5341351125978324</v>
      </c>
      <c r="Z69" s="15">
        <v>0.44618588522216296</v>
      </c>
      <c r="AA69" s="10">
        <v>0.84962567933296596</v>
      </c>
      <c r="AB69" s="10">
        <v>411.44099999999986</v>
      </c>
      <c r="AC69" s="43">
        <v>1.5307370923170036E-2</v>
      </c>
      <c r="AD69" s="43">
        <v>1.1588645138547102E-3</v>
      </c>
      <c r="AE69" s="44">
        <v>306.1474184634007</v>
      </c>
      <c r="AF69" s="10">
        <v>0</v>
      </c>
      <c r="AG69" s="10">
        <v>5434.6991599999992</v>
      </c>
      <c r="AH69" s="12">
        <v>1.1588645138547102E-3</v>
      </c>
      <c r="AI69" s="10">
        <v>543.47826086956525</v>
      </c>
      <c r="AJ69" s="10">
        <v>306.1474184634007</v>
      </c>
      <c r="AK69" s="5" t="s">
        <v>113</v>
      </c>
      <c r="AL69" s="5" t="s">
        <v>130</v>
      </c>
      <c r="AM69" s="4" t="s">
        <v>133</v>
      </c>
    </row>
    <row r="70" spans="1:39" x14ac:dyDescent="0.35">
      <c r="A70" s="5" t="s">
        <v>108</v>
      </c>
      <c r="B70" s="9" t="str">
        <f>VLOOKUP(D70,Auxiliar!A:C,2,0)</f>
        <v>ES CASAGRANDE</v>
      </c>
      <c r="C70" s="5" t="str">
        <f>VLOOKUP(D70,Auxiliar!A:C,3,0)</f>
        <v>Luisa</v>
      </c>
      <c r="D70" s="9" t="s">
        <v>57</v>
      </c>
      <c r="E70" s="16">
        <v>0</v>
      </c>
      <c r="F70" s="24">
        <v>0</v>
      </c>
      <c r="G70" s="53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1">
        <v>0</v>
      </c>
      <c r="O70" s="12">
        <v>0.02</v>
      </c>
      <c r="P70" s="11">
        <v>3.5000000000000003E-2</v>
      </c>
      <c r="Q70" s="35">
        <v>0</v>
      </c>
      <c r="R70" s="12">
        <v>0</v>
      </c>
      <c r="S70" s="10">
        <v>0</v>
      </c>
      <c r="T70" s="10">
        <v>0</v>
      </c>
      <c r="U70" s="22">
        <v>1</v>
      </c>
      <c r="V70" s="10">
        <v>0</v>
      </c>
      <c r="W70" s="10">
        <v>0</v>
      </c>
      <c r="X70" s="40">
        <v>0</v>
      </c>
      <c r="Y70" s="39">
        <v>0</v>
      </c>
      <c r="Z70" s="15">
        <v>5.5000000000000007E-2</v>
      </c>
      <c r="AA70" s="10">
        <v>0</v>
      </c>
      <c r="AB70" s="10">
        <v>149.25999999999996</v>
      </c>
      <c r="AC70" s="43">
        <v>0</v>
      </c>
      <c r="AD70" s="43">
        <v>0</v>
      </c>
      <c r="AE70" s="44">
        <v>0</v>
      </c>
      <c r="AF70" s="10">
        <v>0</v>
      </c>
      <c r="AG70" s="10">
        <v>5434.6991599999992</v>
      </c>
      <c r="AH70" s="12">
        <v>0</v>
      </c>
      <c r="AI70" s="10">
        <v>0</v>
      </c>
      <c r="AJ70" s="10">
        <v>0</v>
      </c>
      <c r="AK70" s="5" t="s">
        <v>113</v>
      </c>
      <c r="AL70" s="5" t="s">
        <v>113</v>
      </c>
      <c r="AM70" s="4" t="s">
        <v>133</v>
      </c>
    </row>
    <row r="71" spans="1:39" x14ac:dyDescent="0.35">
      <c r="A71" s="5" t="s">
        <v>108</v>
      </c>
      <c r="B71" s="9" t="str">
        <f>VLOOKUP(D71,Auxiliar!A:C,2,0)</f>
        <v>MG COELHO DINIZ</v>
      </c>
      <c r="C71" s="5" t="str">
        <f>VLOOKUP(D71,Auxiliar!A:C,3,0)</f>
        <v>Luisa</v>
      </c>
      <c r="D71" s="9" t="s">
        <v>12</v>
      </c>
      <c r="E71" s="16">
        <v>0</v>
      </c>
      <c r="F71" s="24">
        <v>0</v>
      </c>
      <c r="G71" s="53">
        <v>0</v>
      </c>
      <c r="H71" s="10">
        <v>0</v>
      </c>
      <c r="I71" s="10">
        <v>10.677092173913044</v>
      </c>
      <c r="J71" s="10">
        <v>0</v>
      </c>
      <c r="K71" s="10">
        <v>8.6956521739130448</v>
      </c>
      <c r="L71" s="10">
        <v>1.9814399999999996</v>
      </c>
      <c r="M71" s="10">
        <v>0</v>
      </c>
      <c r="N71" s="11">
        <v>0.03</v>
      </c>
      <c r="O71" s="12">
        <v>0.02</v>
      </c>
      <c r="P71" s="11">
        <v>3.5000000000000003E-2</v>
      </c>
      <c r="Q71" s="35">
        <v>-10.677092173913044</v>
      </c>
      <c r="R71" s="12">
        <v>0</v>
      </c>
      <c r="S71" s="10">
        <v>0</v>
      </c>
      <c r="T71" s="10">
        <v>0</v>
      </c>
      <c r="U71" s="22">
        <v>1</v>
      </c>
      <c r="V71" s="10">
        <v>16</v>
      </c>
      <c r="W71" s="10">
        <v>0</v>
      </c>
      <c r="X71" s="40">
        <v>11.668953195533382</v>
      </c>
      <c r="Y71" s="39">
        <v>0.72930957472083635</v>
      </c>
      <c r="Z71" s="15">
        <v>8.5000000000000006E-2</v>
      </c>
      <c r="AA71" s="10">
        <v>10.677092173913044</v>
      </c>
      <c r="AB71" s="10">
        <v>3099.8139599999995</v>
      </c>
      <c r="AC71" s="43">
        <v>0</v>
      </c>
      <c r="AD71" s="43">
        <v>0</v>
      </c>
      <c r="AE71" s="44">
        <v>0</v>
      </c>
      <c r="AF71" s="10">
        <v>1981.4399999999996</v>
      </c>
      <c r="AG71" s="10">
        <v>5434.6991599999992</v>
      </c>
      <c r="AH71" s="12">
        <v>0</v>
      </c>
      <c r="AI71" s="10">
        <v>8695.652173913044</v>
      </c>
      <c r="AJ71" s="10">
        <v>1981.4399999999996</v>
      </c>
      <c r="AK71" s="5" t="s">
        <v>113</v>
      </c>
      <c r="AL71" s="5" t="s">
        <v>29</v>
      </c>
      <c r="AM71" s="4" t="s">
        <v>133</v>
      </c>
    </row>
    <row r="72" spans="1:39" x14ac:dyDescent="0.35">
      <c r="A72" s="5" t="s">
        <v>108</v>
      </c>
      <c r="B72" s="9" t="str">
        <f>VLOOKUP(D72,Auxiliar!A:C,2,0)</f>
        <v>DF EMPÓRIO PRIME</v>
      </c>
      <c r="C72" s="5" t="str">
        <f>VLOOKUP(D72,Auxiliar!A:C,3,0)</f>
        <v>Luisa</v>
      </c>
      <c r="D72" s="9" t="s">
        <v>7</v>
      </c>
      <c r="E72" s="16">
        <v>0.48243049503837193</v>
      </c>
      <c r="F72" s="24">
        <v>11.38336</v>
      </c>
      <c r="G72" s="53">
        <v>0</v>
      </c>
      <c r="H72" s="10">
        <v>11.38336</v>
      </c>
      <c r="I72" s="10">
        <v>6.9530498607847466</v>
      </c>
      <c r="J72" s="10">
        <v>5.4916800000000014</v>
      </c>
      <c r="K72" s="10">
        <v>0.5434782608695653</v>
      </c>
      <c r="L72" s="10">
        <v>0.29180679991517944</v>
      </c>
      <c r="M72" s="10">
        <v>0.62608480000000011</v>
      </c>
      <c r="N72" s="11">
        <v>0</v>
      </c>
      <c r="O72" s="12">
        <v>0.02</v>
      </c>
      <c r="P72" s="11">
        <v>3.5000000000000003E-2</v>
      </c>
      <c r="Q72" s="35">
        <v>4.4303101392152531</v>
      </c>
      <c r="R72" s="12">
        <v>0.38919177986247061</v>
      </c>
      <c r="S72" s="10">
        <v>0</v>
      </c>
      <c r="T72" s="10">
        <v>0</v>
      </c>
      <c r="U72" s="22">
        <v>1</v>
      </c>
      <c r="V72" s="10">
        <v>1</v>
      </c>
      <c r="W72" s="10">
        <v>0</v>
      </c>
      <c r="X72" s="40">
        <v>1.8057503830781816</v>
      </c>
      <c r="Y72" s="39">
        <v>1.8057503830781816</v>
      </c>
      <c r="Z72" s="15">
        <v>0.53743049503837192</v>
      </c>
      <c r="AA72" s="10">
        <v>0.83528506078474474</v>
      </c>
      <c r="AB72" s="10">
        <v>3099.8139599999995</v>
      </c>
      <c r="AC72" s="43">
        <v>3.6722719966071774E-3</v>
      </c>
      <c r="AD72" s="43">
        <v>2.0945704012068998E-3</v>
      </c>
      <c r="AE72" s="44">
        <v>91.80679991517944</v>
      </c>
      <c r="AF72" s="10">
        <v>200</v>
      </c>
      <c r="AG72" s="10">
        <v>5434.6991599999992</v>
      </c>
      <c r="AH72" s="12">
        <v>2.0945704012068998E-3</v>
      </c>
      <c r="AI72" s="10">
        <v>543.47826086956525</v>
      </c>
      <c r="AJ72" s="10">
        <v>291.80679991517945</v>
      </c>
      <c r="AK72" s="5" t="s">
        <v>113</v>
      </c>
      <c r="AL72" s="5" t="s">
        <v>29</v>
      </c>
      <c r="AM72" s="4" t="s">
        <v>133</v>
      </c>
    </row>
    <row r="73" spans="1:39" x14ac:dyDescent="0.35">
      <c r="A73" s="5" t="s">
        <v>108</v>
      </c>
      <c r="B73" s="9" t="str">
        <f>VLOOKUP(D73,Auxiliar!A:C,2,0)</f>
        <v>DF EMPÓRIO PRIME</v>
      </c>
      <c r="C73" s="5" t="str">
        <f>VLOOKUP(D73,Auxiliar!A:C,3,0)</f>
        <v>Luisa</v>
      </c>
      <c r="D73" s="9" t="s">
        <v>8</v>
      </c>
      <c r="E73" s="16">
        <v>0.47939049619764507</v>
      </c>
      <c r="F73" s="24">
        <v>53.238059999999983</v>
      </c>
      <c r="G73" s="53">
        <v>4.8142800000000001</v>
      </c>
      <c r="H73" s="10">
        <v>48.423779999999979</v>
      </c>
      <c r="I73" s="10">
        <v>31.853171304464492</v>
      </c>
      <c r="J73" s="10">
        <v>25.521819999999991</v>
      </c>
      <c r="K73" s="10">
        <v>2.1739130434782612</v>
      </c>
      <c r="L73" s="10">
        <v>1.229344960986239</v>
      </c>
      <c r="M73" s="10">
        <v>2.9280932999999996</v>
      </c>
      <c r="N73" s="11">
        <v>0</v>
      </c>
      <c r="O73" s="12">
        <v>0.02</v>
      </c>
      <c r="P73" s="11">
        <v>3.5000000000000003E-2</v>
      </c>
      <c r="Q73" s="35">
        <v>16.570608695535487</v>
      </c>
      <c r="R73" s="12">
        <v>0.3421998178484929</v>
      </c>
      <c r="S73" s="10">
        <v>2.3079200780343987</v>
      </c>
      <c r="T73" s="10">
        <v>9.0429290624038552E-2</v>
      </c>
      <c r="U73" s="22">
        <v>1</v>
      </c>
      <c r="V73" s="10">
        <v>4</v>
      </c>
      <c r="W73" s="10">
        <v>0</v>
      </c>
      <c r="X73" s="40">
        <v>17.648991133893901</v>
      </c>
      <c r="Y73" s="39">
        <v>4.4122477834734752</v>
      </c>
      <c r="Z73" s="15">
        <v>0.53439049619764512</v>
      </c>
      <c r="AA73" s="10">
        <v>3.4032580044645</v>
      </c>
      <c r="AB73" s="10">
        <v>3099.8139599999995</v>
      </c>
      <c r="AC73" s="43">
        <v>1.717459843944957E-2</v>
      </c>
      <c r="AD73" s="43">
        <v>9.7959534525550434E-3</v>
      </c>
      <c r="AE73" s="44">
        <v>429.36496098623923</v>
      </c>
      <c r="AF73" s="10">
        <v>799.98</v>
      </c>
      <c r="AG73" s="10">
        <v>5434.6991599999992</v>
      </c>
      <c r="AH73" s="12">
        <v>9.7959534525550434E-3</v>
      </c>
      <c r="AI73" s="10">
        <v>2173.913043478261</v>
      </c>
      <c r="AJ73" s="10">
        <v>1229.3449609862391</v>
      </c>
      <c r="AK73" s="5" t="s">
        <v>113</v>
      </c>
      <c r="AL73" s="5" t="s">
        <v>29</v>
      </c>
      <c r="AM73" s="4" t="s">
        <v>133</v>
      </c>
    </row>
    <row r="74" spans="1:39" x14ac:dyDescent="0.35">
      <c r="A74" s="5" t="s">
        <v>108</v>
      </c>
      <c r="B74" s="9" t="str">
        <f>VLOOKUP(D74,Auxiliar!A:C,2,0)</f>
        <v>MT FORT</v>
      </c>
      <c r="C74" s="5" t="str">
        <f>VLOOKUP(D74,Auxiliar!A:C,3,0)</f>
        <v>Luisa</v>
      </c>
      <c r="D74" s="9" t="s">
        <v>18</v>
      </c>
      <c r="E74" s="16">
        <v>0.48194269884833402</v>
      </c>
      <c r="F74" s="24">
        <v>15.594800000000001</v>
      </c>
      <c r="G74" s="53">
        <v>25.48141</v>
      </c>
      <c r="H74" s="10">
        <v>-9.8866099999999992</v>
      </c>
      <c r="I74" s="10">
        <v>14.457165890162697</v>
      </c>
      <c r="J74" s="10">
        <v>7.5157999999999996</v>
      </c>
      <c r="K74" s="10">
        <v>3.804347826086957</v>
      </c>
      <c r="L74" s="10">
        <v>0.87577206407574215</v>
      </c>
      <c r="M74" s="10">
        <v>2.2612460000000003</v>
      </c>
      <c r="N74" s="11">
        <v>0.09</v>
      </c>
      <c r="O74" s="12">
        <v>0.02</v>
      </c>
      <c r="P74" s="11">
        <v>3.5000000000000003E-2</v>
      </c>
      <c r="Q74" s="35">
        <v>-24.343775890162696</v>
      </c>
      <c r="R74" s="12">
        <v>2.4622975812905232</v>
      </c>
      <c r="S74" s="10">
        <v>12.280579505860928</v>
      </c>
      <c r="T74" s="10">
        <v>1.633968374073409</v>
      </c>
      <c r="U74" s="22">
        <v>1</v>
      </c>
      <c r="V74" s="10">
        <v>7</v>
      </c>
      <c r="W74" s="10">
        <v>1.403532</v>
      </c>
      <c r="X74" s="40">
        <v>80.849590122083043</v>
      </c>
      <c r="Y74" s="39">
        <v>11.549941446011863</v>
      </c>
      <c r="Z74" s="15">
        <v>0.62694269884833398</v>
      </c>
      <c r="AA74" s="10">
        <v>4.6801198901626995</v>
      </c>
      <c r="AB74" s="10">
        <v>3099.8139599999995</v>
      </c>
      <c r="AC74" s="43">
        <v>5.0308825630296867E-3</v>
      </c>
      <c r="AD74" s="43">
        <v>2.8694872597142991E-3</v>
      </c>
      <c r="AE74" s="44">
        <v>125.77206407574216</v>
      </c>
      <c r="AF74" s="10">
        <v>750</v>
      </c>
      <c r="AG74" s="10">
        <v>5434.6991599999992</v>
      </c>
      <c r="AH74" s="12">
        <v>2.8694872597142991E-3</v>
      </c>
      <c r="AI74" s="10">
        <v>3804.347826086957</v>
      </c>
      <c r="AJ74" s="10">
        <v>875.77206407574215</v>
      </c>
      <c r="AK74" s="5" t="s">
        <v>113</v>
      </c>
      <c r="AL74" s="5" t="s">
        <v>29</v>
      </c>
      <c r="AM74" s="4" t="s">
        <v>133</v>
      </c>
    </row>
    <row r="75" spans="1:39" x14ac:dyDescent="0.35">
      <c r="A75" s="5" t="s">
        <v>108</v>
      </c>
      <c r="B75" s="9" t="str">
        <f>VLOOKUP(D75,Auxiliar!A:C,2,0)</f>
        <v>MG Hiper Monlevade</v>
      </c>
      <c r="C75" s="5" t="str">
        <f>VLOOKUP(D75,Auxiliar!A:C,3,0)</f>
        <v>Luisa</v>
      </c>
      <c r="D75" s="9" t="s">
        <v>59</v>
      </c>
      <c r="E75" s="16">
        <v>0</v>
      </c>
      <c r="F75" s="24">
        <v>0</v>
      </c>
      <c r="G75" s="53">
        <v>0</v>
      </c>
      <c r="H75" s="10">
        <v>0</v>
      </c>
      <c r="I75" s="10">
        <v>0</v>
      </c>
      <c r="J75" s="10">
        <v>0</v>
      </c>
      <c r="K75" s="10">
        <v>0</v>
      </c>
      <c r="L75" s="10">
        <v>0</v>
      </c>
      <c r="M75" s="10">
        <v>0</v>
      </c>
      <c r="N75" s="11">
        <v>0</v>
      </c>
      <c r="O75" s="12">
        <v>0.02</v>
      </c>
      <c r="P75" s="11">
        <v>3.5000000000000003E-2</v>
      </c>
      <c r="Q75" s="35">
        <v>0</v>
      </c>
      <c r="R75" s="12">
        <v>0</v>
      </c>
      <c r="S75" s="10">
        <v>0</v>
      </c>
      <c r="T75" s="10">
        <v>0</v>
      </c>
      <c r="U75" s="22">
        <v>1</v>
      </c>
      <c r="V75" s="10">
        <v>0</v>
      </c>
      <c r="W75" s="10">
        <v>0</v>
      </c>
      <c r="X75" s="40">
        <v>0</v>
      </c>
      <c r="Y75" s="39">
        <v>0</v>
      </c>
      <c r="Z75" s="15">
        <v>5.5000000000000007E-2</v>
      </c>
      <c r="AA75" s="10">
        <v>0</v>
      </c>
      <c r="AB75" s="10">
        <v>149.25999999999996</v>
      </c>
      <c r="AC75" s="43">
        <v>0</v>
      </c>
      <c r="AD75" s="43">
        <v>0</v>
      </c>
      <c r="AE75" s="44">
        <v>0</v>
      </c>
      <c r="AF75" s="10">
        <v>0</v>
      </c>
      <c r="AG75" s="10">
        <v>5434.6991599999992</v>
      </c>
      <c r="AH75" s="12">
        <v>0</v>
      </c>
      <c r="AI75" s="10">
        <v>0</v>
      </c>
      <c r="AJ75" s="10">
        <v>0</v>
      </c>
      <c r="AK75" s="5" t="s">
        <v>113</v>
      </c>
      <c r="AL75" s="5" t="s">
        <v>113</v>
      </c>
      <c r="AM75" s="4" t="s">
        <v>133</v>
      </c>
    </row>
    <row r="76" spans="1:39" x14ac:dyDescent="0.35">
      <c r="A76" s="5" t="s">
        <v>108</v>
      </c>
      <c r="B76" s="9" t="str">
        <f>VLOOKUP(D76,Auxiliar!A:C,2,0)</f>
        <v>SP INFANGER</v>
      </c>
      <c r="C76" s="5" t="str">
        <f>VLOOKUP(D76,Auxiliar!A:C,3,0)</f>
        <v>Julliano</v>
      </c>
      <c r="D76" s="9" t="s">
        <v>20</v>
      </c>
      <c r="E76" s="16">
        <v>0</v>
      </c>
      <c r="F76" s="24">
        <v>0</v>
      </c>
      <c r="G76" s="53">
        <v>0</v>
      </c>
      <c r="H76" s="10">
        <v>0</v>
      </c>
      <c r="I76" s="10">
        <v>1.0869565217391306</v>
      </c>
      <c r="J76" s="10">
        <v>0</v>
      </c>
      <c r="K76" s="10">
        <v>1.0869565217391306</v>
      </c>
      <c r="L76" s="10">
        <v>0</v>
      </c>
      <c r="M76" s="10">
        <v>0</v>
      </c>
      <c r="N76" s="11">
        <v>0</v>
      </c>
      <c r="O76" s="12">
        <v>0.02</v>
      </c>
      <c r="P76" s="11">
        <v>3.5000000000000003E-2</v>
      </c>
      <c r="Q76" s="35">
        <v>-1.0869565217391306</v>
      </c>
      <c r="R76" s="12">
        <v>0</v>
      </c>
      <c r="S76" s="10">
        <v>0</v>
      </c>
      <c r="T76" s="10">
        <v>0</v>
      </c>
      <c r="U76" s="22">
        <v>1</v>
      </c>
      <c r="V76" s="10">
        <v>2</v>
      </c>
      <c r="W76" s="10">
        <v>0</v>
      </c>
      <c r="X76" s="40">
        <v>1.1502185415228896</v>
      </c>
      <c r="Y76" s="39">
        <v>0.5751092707614448</v>
      </c>
      <c r="Z76" s="15">
        <v>5.5000000000000007E-2</v>
      </c>
      <c r="AA76" s="10">
        <v>1.0869565217391306</v>
      </c>
      <c r="AB76" s="10">
        <v>411.44099999999986</v>
      </c>
      <c r="AC76" s="43">
        <v>0</v>
      </c>
      <c r="AD76" s="43">
        <v>0</v>
      </c>
      <c r="AE76" s="44">
        <v>0</v>
      </c>
      <c r="AF76" s="10">
        <v>0</v>
      </c>
      <c r="AG76" s="10">
        <v>5434.6991599999992</v>
      </c>
      <c r="AH76" s="12">
        <v>0</v>
      </c>
      <c r="AI76" s="10">
        <v>1086.9565217391305</v>
      </c>
      <c r="AJ76" s="10">
        <v>0</v>
      </c>
      <c r="AK76" s="5" t="s">
        <v>113</v>
      </c>
      <c r="AL76" s="5" t="s">
        <v>130</v>
      </c>
      <c r="AM76" s="4" t="s">
        <v>133</v>
      </c>
    </row>
    <row r="77" spans="1:39" x14ac:dyDescent="0.35">
      <c r="A77" s="5" t="s">
        <v>108</v>
      </c>
      <c r="B77" s="9" t="str">
        <f>VLOOKUP(D77,Auxiliar!A:C,2,0)</f>
        <v>MT MERCADO CURIO</v>
      </c>
      <c r="C77" s="5" t="str">
        <f>VLOOKUP(D77,Auxiliar!A:C,3,0)</f>
        <v>Luisa</v>
      </c>
      <c r="D77" s="9" t="s">
        <v>61</v>
      </c>
      <c r="E77" s="16">
        <v>0</v>
      </c>
      <c r="F77" s="24">
        <v>0</v>
      </c>
      <c r="G77" s="53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1">
        <v>0</v>
      </c>
      <c r="O77" s="12">
        <v>0.02</v>
      </c>
      <c r="P77" s="11">
        <v>3.5000000000000003E-2</v>
      </c>
      <c r="Q77" s="35">
        <v>0</v>
      </c>
      <c r="R77" s="12">
        <v>0</v>
      </c>
      <c r="S77" s="10">
        <v>0</v>
      </c>
      <c r="T77" s="10">
        <v>0</v>
      </c>
      <c r="U77" s="22">
        <v>1</v>
      </c>
      <c r="V77" s="10">
        <v>0</v>
      </c>
      <c r="W77" s="10">
        <v>0</v>
      </c>
      <c r="X77" s="40">
        <v>0</v>
      </c>
      <c r="Y77" s="39">
        <v>0</v>
      </c>
      <c r="Z77" s="15">
        <v>5.5000000000000007E-2</v>
      </c>
      <c r="AA77" s="10">
        <v>0</v>
      </c>
      <c r="AB77" s="10">
        <v>149.25999999999996</v>
      </c>
      <c r="AC77" s="43">
        <v>0</v>
      </c>
      <c r="AD77" s="43">
        <v>0</v>
      </c>
      <c r="AE77" s="44">
        <v>0</v>
      </c>
      <c r="AF77" s="10">
        <v>0</v>
      </c>
      <c r="AG77" s="10">
        <v>5434.6991599999992</v>
      </c>
      <c r="AH77" s="12">
        <v>0</v>
      </c>
      <c r="AI77" s="10">
        <v>0</v>
      </c>
      <c r="AJ77" s="10">
        <v>0</v>
      </c>
      <c r="AK77" s="5" t="s">
        <v>113</v>
      </c>
      <c r="AL77" s="5" t="s">
        <v>113</v>
      </c>
      <c r="AM77" s="4" t="s">
        <v>133</v>
      </c>
    </row>
    <row r="78" spans="1:39" x14ac:dyDescent="0.35">
      <c r="A78" s="5" t="s">
        <v>108</v>
      </c>
      <c r="B78" s="9" t="str">
        <f>VLOOKUP(D78,Auxiliar!A:C,2,0)</f>
        <v>SC MONIARI</v>
      </c>
      <c r="C78" s="5" t="str">
        <f>VLOOKUP(D78,Auxiliar!A:C,3,0)</f>
        <v>Leandro</v>
      </c>
      <c r="D78" s="9" t="s">
        <v>62</v>
      </c>
      <c r="E78" s="16">
        <v>0</v>
      </c>
      <c r="F78" s="24">
        <v>0</v>
      </c>
      <c r="G78" s="53">
        <v>0</v>
      </c>
      <c r="H78" s="10">
        <v>0</v>
      </c>
      <c r="I78" s="10">
        <v>0</v>
      </c>
      <c r="J78" s="10">
        <v>0</v>
      </c>
      <c r="K78" s="10">
        <v>0</v>
      </c>
      <c r="L78" s="10">
        <v>0</v>
      </c>
      <c r="M78" s="10">
        <v>0</v>
      </c>
      <c r="N78" s="11">
        <v>0.06</v>
      </c>
      <c r="O78" s="12">
        <v>0.02</v>
      </c>
      <c r="P78" s="11">
        <v>3.5000000000000003E-2</v>
      </c>
      <c r="Q78" s="35">
        <v>0</v>
      </c>
      <c r="R78" s="12">
        <v>0</v>
      </c>
      <c r="S78" s="10">
        <v>0</v>
      </c>
      <c r="T78" s="10">
        <v>0</v>
      </c>
      <c r="U78" s="22">
        <v>1</v>
      </c>
      <c r="V78" s="10">
        <v>0</v>
      </c>
      <c r="W78" s="10">
        <v>0</v>
      </c>
      <c r="X78" s="40">
        <v>0</v>
      </c>
      <c r="Y78" s="39">
        <v>0</v>
      </c>
      <c r="Z78" s="15">
        <v>0.115</v>
      </c>
      <c r="AA78" s="10">
        <v>0</v>
      </c>
      <c r="AB78" s="10">
        <v>149.25999999999996</v>
      </c>
      <c r="AC78" s="43">
        <v>0</v>
      </c>
      <c r="AD78" s="43">
        <v>0</v>
      </c>
      <c r="AE78" s="44">
        <v>0</v>
      </c>
      <c r="AF78" s="10">
        <v>0</v>
      </c>
      <c r="AG78" s="10">
        <v>5434.6991599999992</v>
      </c>
      <c r="AH78" s="12">
        <v>0</v>
      </c>
      <c r="AI78" s="10">
        <v>0</v>
      </c>
      <c r="AJ78" s="10">
        <v>0</v>
      </c>
      <c r="AK78" s="5" t="s">
        <v>113</v>
      </c>
      <c r="AL78" s="5" t="s">
        <v>113</v>
      </c>
      <c r="AM78" s="4" t="s">
        <v>133</v>
      </c>
    </row>
    <row r="79" spans="1:39" x14ac:dyDescent="0.35">
      <c r="A79" s="5" t="s">
        <v>108</v>
      </c>
      <c r="B79" s="9" t="str">
        <f>VLOOKUP(D79,Auxiliar!A:C,2,0)</f>
        <v>ES ORIUNDI</v>
      </c>
      <c r="C79" s="5" t="str">
        <f>VLOOKUP(D79,Auxiliar!A:C,3,0)</f>
        <v>Luisa</v>
      </c>
      <c r="D79" s="9" t="s">
        <v>58</v>
      </c>
      <c r="E79" s="16">
        <v>0.49071357119039688</v>
      </c>
      <c r="F79" s="24">
        <v>0</v>
      </c>
      <c r="G79" s="53">
        <v>0</v>
      </c>
      <c r="H79" s="10">
        <v>0</v>
      </c>
      <c r="I79" s="10">
        <v>0.65241826086956534</v>
      </c>
      <c r="J79" s="10">
        <v>0</v>
      </c>
      <c r="K79" s="10">
        <v>0.5434782608695653</v>
      </c>
      <c r="L79" s="10">
        <v>0.10894</v>
      </c>
      <c r="M79" s="10">
        <v>0</v>
      </c>
      <c r="N79" s="11">
        <v>0</v>
      </c>
      <c r="O79" s="12">
        <v>0.02</v>
      </c>
      <c r="P79" s="11">
        <v>3.5000000000000003E-2</v>
      </c>
      <c r="Q79" s="35">
        <v>-0.65241826086956534</v>
      </c>
      <c r="R79" s="12">
        <v>0</v>
      </c>
      <c r="S79" s="10">
        <v>0</v>
      </c>
      <c r="T79" s="10">
        <v>0</v>
      </c>
      <c r="U79" s="22">
        <v>1</v>
      </c>
      <c r="V79" s="10">
        <v>1</v>
      </c>
      <c r="W79" s="10">
        <v>0</v>
      </c>
      <c r="X79" s="40">
        <v>1.4361385669810569</v>
      </c>
      <c r="Y79" s="39">
        <v>1.4361385669810569</v>
      </c>
      <c r="Z79" s="15">
        <v>0.54571357119039687</v>
      </c>
      <c r="AA79" s="10">
        <v>0.65241826086956534</v>
      </c>
      <c r="AB79" s="10">
        <v>149.25999999999996</v>
      </c>
      <c r="AC79" s="43">
        <v>0</v>
      </c>
      <c r="AD79" s="43">
        <v>0</v>
      </c>
      <c r="AE79" s="44">
        <v>0</v>
      </c>
      <c r="AF79" s="10">
        <v>108.94</v>
      </c>
      <c r="AG79" s="10">
        <v>5434.6991599999992</v>
      </c>
      <c r="AH79" s="12">
        <v>0</v>
      </c>
      <c r="AI79" s="10">
        <v>543.47826086956525</v>
      </c>
      <c r="AJ79" s="10">
        <v>108.94</v>
      </c>
      <c r="AK79" s="5" t="s">
        <v>113</v>
      </c>
      <c r="AL79" s="5" t="s">
        <v>113</v>
      </c>
      <c r="AM79" s="4" t="s">
        <v>133</v>
      </c>
    </row>
    <row r="80" spans="1:39" x14ac:dyDescent="0.35">
      <c r="A80" s="5" t="s">
        <v>108</v>
      </c>
      <c r="B80" s="9" t="str">
        <f>VLOOKUP(D80,Auxiliar!A:C,2,0)</f>
        <v>MG PANELÃO</v>
      </c>
      <c r="C80" s="5" t="str">
        <f>VLOOKUP(D80,Auxiliar!A:C,3,0)</f>
        <v>Luisa</v>
      </c>
      <c r="D80" s="9" t="s">
        <v>13</v>
      </c>
      <c r="E80" s="16">
        <v>0</v>
      </c>
      <c r="F80" s="24">
        <v>0</v>
      </c>
      <c r="G80" s="53">
        <v>0</v>
      </c>
      <c r="H80" s="10">
        <v>0</v>
      </c>
      <c r="I80" s="10">
        <v>3.1258913043478262</v>
      </c>
      <c r="J80" s="10">
        <v>0</v>
      </c>
      <c r="K80" s="10">
        <v>2.7173913043478262</v>
      </c>
      <c r="L80" s="10">
        <v>0.40849999999999997</v>
      </c>
      <c r="M80" s="10">
        <v>0</v>
      </c>
      <c r="N80" s="11">
        <v>0</v>
      </c>
      <c r="O80" s="12">
        <v>0.02</v>
      </c>
      <c r="P80" s="11">
        <v>3.5000000000000003E-2</v>
      </c>
      <c r="Q80" s="35">
        <v>-3.1258913043478262</v>
      </c>
      <c r="R80" s="12">
        <v>0</v>
      </c>
      <c r="S80" s="10">
        <v>0</v>
      </c>
      <c r="T80" s="10">
        <v>0</v>
      </c>
      <c r="U80" s="22">
        <v>1</v>
      </c>
      <c r="V80" s="10">
        <v>5</v>
      </c>
      <c r="W80" s="10">
        <v>0</v>
      </c>
      <c r="X80" s="40">
        <v>3.3078214860823558</v>
      </c>
      <c r="Y80" s="39">
        <v>0.66156429721647114</v>
      </c>
      <c r="Z80" s="15">
        <v>5.5000000000000007E-2</v>
      </c>
      <c r="AA80" s="10">
        <v>3.1258913043478262</v>
      </c>
      <c r="AB80" s="10">
        <v>149.25999999999996</v>
      </c>
      <c r="AC80" s="43">
        <v>0</v>
      </c>
      <c r="AD80" s="43">
        <v>0</v>
      </c>
      <c r="AE80" s="44">
        <v>0</v>
      </c>
      <c r="AF80" s="10">
        <v>408.5</v>
      </c>
      <c r="AG80" s="10">
        <v>5434.6991599999992</v>
      </c>
      <c r="AH80" s="12">
        <v>0</v>
      </c>
      <c r="AI80" s="10">
        <v>2717.391304347826</v>
      </c>
      <c r="AJ80" s="10">
        <v>408.5</v>
      </c>
      <c r="AK80" s="5" t="s">
        <v>113</v>
      </c>
      <c r="AL80" s="5" t="s">
        <v>113</v>
      </c>
      <c r="AM80" s="4" t="s">
        <v>133</v>
      </c>
    </row>
    <row r="81" spans="1:39" x14ac:dyDescent="0.35">
      <c r="A81" s="5" t="s">
        <v>108</v>
      </c>
      <c r="B81" s="9" t="str">
        <f>VLOOKUP(D81,Auxiliar!A:C,2,0)</f>
        <v>MG SUPER LUNA</v>
      </c>
      <c r="C81" s="5" t="str">
        <f>VLOOKUP(D81,Auxiliar!A:C,3,0)</f>
        <v>Luisa</v>
      </c>
      <c r="D81" s="9" t="s">
        <v>14</v>
      </c>
      <c r="E81" s="16">
        <v>0.48190611187300297</v>
      </c>
      <c r="F81" s="24">
        <v>32.56514</v>
      </c>
      <c r="G81" s="53">
        <v>6.5744999999999996</v>
      </c>
      <c r="H81" s="10">
        <v>25.990639999999999</v>
      </c>
      <c r="I81" s="10">
        <v>26.77503878589453</v>
      </c>
      <c r="J81" s="10">
        <v>15.693340000000005</v>
      </c>
      <c r="K81" s="10">
        <v>5.9782608695652177</v>
      </c>
      <c r="L81" s="10">
        <v>2.3354010163293117</v>
      </c>
      <c r="M81" s="10">
        <v>2.7680369000000002</v>
      </c>
      <c r="N81" s="11">
        <v>0.03</v>
      </c>
      <c r="O81" s="12">
        <v>0.02</v>
      </c>
      <c r="P81" s="11">
        <v>3.5000000000000003E-2</v>
      </c>
      <c r="Q81" s="35">
        <v>-0.78439878589453116</v>
      </c>
      <c r="R81" s="12">
        <v>-3.0180048890467152E-2</v>
      </c>
      <c r="S81" s="10">
        <v>3.1682917325090578</v>
      </c>
      <c r="T81" s="10">
        <v>0.20188766269698211</v>
      </c>
      <c r="U81" s="22">
        <v>1</v>
      </c>
      <c r="V81" s="10">
        <v>11</v>
      </c>
      <c r="W81" s="10">
        <v>0.97695419999999999</v>
      </c>
      <c r="X81" s="40">
        <v>34.376291825039203</v>
      </c>
      <c r="Y81" s="39">
        <v>3.1251174386399274</v>
      </c>
      <c r="Z81" s="15">
        <v>0.56690611187300299</v>
      </c>
      <c r="AA81" s="10">
        <v>8.313661885894529</v>
      </c>
      <c r="AB81" s="10">
        <v>3099.8139599999995</v>
      </c>
      <c r="AC81" s="43">
        <v>1.0505514337383011E-2</v>
      </c>
      <c r="AD81" s="43">
        <v>5.9920777657175789E-3</v>
      </c>
      <c r="AE81" s="44">
        <v>262.63785843457526</v>
      </c>
      <c r="AF81" s="10">
        <v>2072.7631578947367</v>
      </c>
      <c r="AG81" s="10">
        <v>5434.6991599999992</v>
      </c>
      <c r="AH81" s="12">
        <v>5.9920777657175789E-3</v>
      </c>
      <c r="AI81" s="10">
        <v>5978.2608695652179</v>
      </c>
      <c r="AJ81" s="10">
        <v>2335.4010163293119</v>
      </c>
      <c r="AK81" s="5" t="s">
        <v>113</v>
      </c>
      <c r="AL81" s="5" t="s">
        <v>29</v>
      </c>
      <c r="AM81" s="4" t="s">
        <v>133</v>
      </c>
    </row>
    <row r="82" spans="1:39" x14ac:dyDescent="0.35">
      <c r="A82" s="5" t="s">
        <v>108</v>
      </c>
      <c r="B82" s="9" t="str">
        <f>VLOOKUP(D82,Auxiliar!A:C,2,0)</f>
        <v>MG SUPERMAXI</v>
      </c>
      <c r="C82" s="5" t="str">
        <f>VLOOKUP(D82,Auxiliar!A:C,3,0)</f>
        <v>Luisa</v>
      </c>
      <c r="D82" s="9" t="s">
        <v>15</v>
      </c>
      <c r="E82" s="16">
        <v>0</v>
      </c>
      <c r="F82" s="24">
        <v>0</v>
      </c>
      <c r="G82" s="53">
        <v>0</v>
      </c>
      <c r="H82" s="10">
        <v>0</v>
      </c>
      <c r="I82" s="10">
        <v>6.1963043478260866</v>
      </c>
      <c r="J82" s="10">
        <v>0</v>
      </c>
      <c r="K82" s="10">
        <v>4.8913043478260869</v>
      </c>
      <c r="L82" s="10">
        <v>1.3049999999999999</v>
      </c>
      <c r="M82" s="10">
        <v>0</v>
      </c>
      <c r="N82" s="11">
        <v>6.5000000000000002E-2</v>
      </c>
      <c r="O82" s="12">
        <v>0.02</v>
      </c>
      <c r="P82" s="11">
        <v>3.5000000000000003E-2</v>
      </c>
      <c r="Q82" s="35">
        <v>-6.1963043478260866</v>
      </c>
      <c r="R82" s="12">
        <v>0</v>
      </c>
      <c r="S82" s="10">
        <v>0</v>
      </c>
      <c r="T82" s="10">
        <v>0</v>
      </c>
      <c r="U82" s="22">
        <v>1</v>
      </c>
      <c r="V82" s="10">
        <v>9</v>
      </c>
      <c r="W82" s="10">
        <v>0</v>
      </c>
      <c r="X82" s="40">
        <v>7.041254940711462</v>
      </c>
      <c r="Y82" s="39">
        <v>0.78236166007905128</v>
      </c>
      <c r="Z82" s="15">
        <v>0.12000000000000001</v>
      </c>
      <c r="AA82" s="10">
        <v>6.1963043478260866</v>
      </c>
      <c r="AB82" s="10">
        <v>149.25999999999996</v>
      </c>
      <c r="AC82" s="43">
        <v>0</v>
      </c>
      <c r="AD82" s="43">
        <v>0</v>
      </c>
      <c r="AE82" s="44">
        <v>0</v>
      </c>
      <c r="AF82" s="10">
        <v>1305</v>
      </c>
      <c r="AG82" s="10">
        <v>5434.6991599999992</v>
      </c>
      <c r="AH82" s="12">
        <v>0</v>
      </c>
      <c r="AI82" s="10">
        <v>4891.304347826087</v>
      </c>
      <c r="AJ82" s="10">
        <v>1305</v>
      </c>
      <c r="AK82" s="5" t="s">
        <v>113</v>
      </c>
      <c r="AL82" s="5" t="s">
        <v>113</v>
      </c>
      <c r="AM82" s="4" t="s">
        <v>133</v>
      </c>
    </row>
    <row r="83" spans="1:39" x14ac:dyDescent="0.35">
      <c r="A83" s="5" t="s">
        <v>108</v>
      </c>
      <c r="B83" s="9" t="str">
        <f>VLOOKUP(D83,Auxiliar!A:C,2,0)</f>
        <v>SP SuperVille</v>
      </c>
      <c r="C83" s="5" t="str">
        <f>VLOOKUP(D83,Auxiliar!A:C,3,0)</f>
        <v>Julliano</v>
      </c>
      <c r="D83" s="9" t="s">
        <v>21</v>
      </c>
      <c r="E83" s="16">
        <v>0.47611108464726348</v>
      </c>
      <c r="F83" s="24">
        <v>12.595800000000001</v>
      </c>
      <c r="G83" s="53">
        <v>0</v>
      </c>
      <c r="H83" s="10">
        <v>12.595800000000001</v>
      </c>
      <c r="I83" s="10">
        <v>8.6890028591945629</v>
      </c>
      <c r="J83" s="10">
        <v>5.9970000000000017</v>
      </c>
      <c r="K83" s="10">
        <v>1.0869565217391306</v>
      </c>
      <c r="L83" s="10">
        <v>0.91227733745543127</v>
      </c>
      <c r="M83" s="10">
        <v>0.69276900000000008</v>
      </c>
      <c r="N83" s="11">
        <v>0</v>
      </c>
      <c r="O83" s="12">
        <v>0.02</v>
      </c>
      <c r="P83" s="11">
        <v>3.5000000000000003E-2</v>
      </c>
      <c r="Q83" s="35">
        <v>3.9067971408054376</v>
      </c>
      <c r="R83" s="12">
        <v>0.31016665402796467</v>
      </c>
      <c r="S83" s="10">
        <v>0</v>
      </c>
      <c r="T83" s="10">
        <v>0</v>
      </c>
      <c r="U83" s="22">
        <v>1</v>
      </c>
      <c r="V83" s="10">
        <v>2</v>
      </c>
      <c r="W83" s="10">
        <v>0</v>
      </c>
      <c r="X83" s="40">
        <v>4.2637686533719297</v>
      </c>
      <c r="Y83" s="39">
        <v>2.1318843266859648</v>
      </c>
      <c r="Z83" s="15">
        <v>0.53111108464726353</v>
      </c>
      <c r="AA83" s="10">
        <v>1.999233859194562</v>
      </c>
      <c r="AB83" s="10">
        <v>411.44099999999986</v>
      </c>
      <c r="AC83" s="43">
        <v>3.0613866872771563E-2</v>
      </c>
      <c r="AD83" s="43">
        <v>2.3176627866923183E-3</v>
      </c>
      <c r="AE83" s="44">
        <v>612.27733745543128</v>
      </c>
      <c r="AF83" s="10">
        <v>300</v>
      </c>
      <c r="AG83" s="10">
        <v>5434.6991599999992</v>
      </c>
      <c r="AH83" s="12">
        <v>2.3176627866923183E-3</v>
      </c>
      <c r="AI83" s="10">
        <v>1086.9565217391305</v>
      </c>
      <c r="AJ83" s="10">
        <v>912.27733745543128</v>
      </c>
      <c r="AK83" s="5" t="s">
        <v>113</v>
      </c>
      <c r="AL83" s="5" t="s">
        <v>130</v>
      </c>
      <c r="AM83" s="4" t="s">
        <v>133</v>
      </c>
    </row>
    <row r="84" spans="1:39" x14ac:dyDescent="0.35">
      <c r="A84" s="5" t="s">
        <v>108</v>
      </c>
      <c r="B84" s="9" t="str">
        <f>VLOOKUP(D84,Auxiliar!A:C,2,0)</f>
        <v>MG VIA BAHIA</v>
      </c>
      <c r="C84" s="5" t="str">
        <f>VLOOKUP(D84,Auxiliar!A:C,3,0)</f>
        <v>Luisa</v>
      </c>
      <c r="D84" s="9" t="s">
        <v>16</v>
      </c>
      <c r="E84" s="16">
        <v>0</v>
      </c>
      <c r="F84" s="24">
        <v>0</v>
      </c>
      <c r="G84" s="53">
        <v>0</v>
      </c>
      <c r="H84" s="10">
        <v>0</v>
      </c>
      <c r="I84" s="10">
        <v>3.4173913043478263</v>
      </c>
      <c r="J84" s="10">
        <v>0</v>
      </c>
      <c r="K84" s="10">
        <v>2.7173913043478262</v>
      </c>
      <c r="L84" s="10">
        <v>0.7</v>
      </c>
      <c r="M84" s="10">
        <v>0</v>
      </c>
      <c r="N84" s="11">
        <v>0</v>
      </c>
      <c r="O84" s="12">
        <v>0.02</v>
      </c>
      <c r="P84" s="11">
        <v>3.5000000000000003E-2</v>
      </c>
      <c r="Q84" s="35">
        <v>-3.4173913043478263</v>
      </c>
      <c r="R84" s="12">
        <v>0</v>
      </c>
      <c r="S84" s="10">
        <v>0</v>
      </c>
      <c r="T84" s="10">
        <v>0</v>
      </c>
      <c r="U84" s="22">
        <v>1</v>
      </c>
      <c r="V84" s="10">
        <v>5</v>
      </c>
      <c r="W84" s="10">
        <v>0</v>
      </c>
      <c r="X84" s="40">
        <v>3.6162870945479644</v>
      </c>
      <c r="Y84" s="39">
        <v>0.72325741890959283</v>
      </c>
      <c r="Z84" s="15">
        <v>5.5000000000000007E-2</v>
      </c>
      <c r="AA84" s="10">
        <v>3.4173913043478263</v>
      </c>
      <c r="AB84" s="10">
        <v>149.25999999999996</v>
      </c>
      <c r="AC84" s="43">
        <v>0</v>
      </c>
      <c r="AD84" s="43">
        <v>0</v>
      </c>
      <c r="AE84" s="44">
        <v>0</v>
      </c>
      <c r="AF84" s="10">
        <v>700</v>
      </c>
      <c r="AG84" s="10">
        <v>5434.6991599999992</v>
      </c>
      <c r="AH84" s="12">
        <v>0</v>
      </c>
      <c r="AI84" s="10">
        <v>2717.391304347826</v>
      </c>
      <c r="AJ84" s="10">
        <v>700</v>
      </c>
      <c r="AK84" s="5" t="s">
        <v>113</v>
      </c>
      <c r="AL84" s="5" t="s">
        <v>113</v>
      </c>
      <c r="AM84" s="4" t="s">
        <v>133</v>
      </c>
    </row>
    <row r="85" spans="1:39" x14ac:dyDescent="0.35">
      <c r="A85" s="5" t="s">
        <v>108</v>
      </c>
      <c r="B85" s="9" t="str">
        <f>VLOOKUP(D85,Auxiliar!A:C,2,0)</f>
        <v>SC ANGELONI</v>
      </c>
      <c r="C85" s="5" t="str">
        <f>VLOOKUP(D85,Auxiliar!A:C,3,0)</f>
        <v>Leandro</v>
      </c>
      <c r="D85" s="9" t="s">
        <v>23</v>
      </c>
      <c r="E85" s="16">
        <v>0.4334431312824305</v>
      </c>
      <c r="F85" s="24">
        <v>72.909679999999994</v>
      </c>
      <c r="G85" s="53">
        <v>0</v>
      </c>
      <c r="H85" s="10">
        <v>72.909679999999994</v>
      </c>
      <c r="I85" s="10">
        <v>75.441534933371372</v>
      </c>
      <c r="J85" s="10">
        <v>31.602199999999996</v>
      </c>
      <c r="K85" s="10">
        <v>18.478260869565219</v>
      </c>
      <c r="L85" s="10">
        <v>13.330976863806161</v>
      </c>
      <c r="M85" s="10">
        <v>12.0300972</v>
      </c>
      <c r="N85" s="11">
        <v>0.11</v>
      </c>
      <c r="O85" s="12">
        <v>0.02</v>
      </c>
      <c r="P85" s="11">
        <v>3.5000000000000003E-2</v>
      </c>
      <c r="Q85" s="35">
        <v>-2.5318549333713776</v>
      </c>
      <c r="R85" s="12">
        <v>-3.4725909280789294E-2</v>
      </c>
      <c r="S85" s="10">
        <v>0</v>
      </c>
      <c r="T85" s="10">
        <v>0</v>
      </c>
      <c r="U85" s="22">
        <v>1</v>
      </c>
      <c r="V85" s="10">
        <v>34</v>
      </c>
      <c r="W85" s="10">
        <v>8.0200648000000001</v>
      </c>
      <c r="X85" s="40">
        <v>79.21477681345317</v>
      </c>
      <c r="Y85" s="39">
        <v>2.3298463768662696</v>
      </c>
      <c r="Z85" s="15">
        <v>0.59844313128243054</v>
      </c>
      <c r="AA85" s="10">
        <v>31.809237733371379</v>
      </c>
      <c r="AB85" s="10">
        <v>1774.1842000000001</v>
      </c>
      <c r="AC85" s="43">
        <v>4.1094763441135364E-2</v>
      </c>
      <c r="AD85" s="43">
        <v>1.3415587110437223E-2</v>
      </c>
      <c r="AE85" s="44">
        <v>1027.3690860283841</v>
      </c>
      <c r="AF85" s="10">
        <v>12303.607777777777</v>
      </c>
      <c r="AG85" s="10">
        <v>5434.6991599999992</v>
      </c>
      <c r="AH85" s="12">
        <v>1.3415587110437223E-2</v>
      </c>
      <c r="AI85" s="10">
        <v>18478.26086956522</v>
      </c>
      <c r="AJ85" s="10">
        <v>13330.976863806161</v>
      </c>
      <c r="AK85" s="5" t="s">
        <v>22</v>
      </c>
      <c r="AL85" s="5" t="s">
        <v>22</v>
      </c>
      <c r="AM85" s="4" t="s">
        <v>133</v>
      </c>
    </row>
    <row r="86" spans="1:39" x14ac:dyDescent="0.35">
      <c r="A86" s="5" t="s">
        <v>108</v>
      </c>
      <c r="B86" s="9" t="str">
        <f>VLOOKUP(D86,Auxiliar!A:C,2,0)</f>
        <v>SC BISTEK</v>
      </c>
      <c r="C86" s="5" t="str">
        <f>VLOOKUP(D86,Auxiliar!A:C,3,0)</f>
        <v>Leandro</v>
      </c>
      <c r="D86" s="9" t="s">
        <v>25</v>
      </c>
      <c r="E86" s="16">
        <v>0.48088660456151616</v>
      </c>
      <c r="F86" s="24">
        <v>498.07999999999993</v>
      </c>
      <c r="G86" s="53">
        <v>49.440069999999999</v>
      </c>
      <c r="H86" s="10">
        <v>448.63992999999994</v>
      </c>
      <c r="I86" s="10">
        <v>323.22455871991281</v>
      </c>
      <c r="J86" s="10">
        <v>239.51999999999992</v>
      </c>
      <c r="K86" s="10">
        <v>11.956521739130435</v>
      </c>
      <c r="L86" s="10">
        <v>11.97843698078249</v>
      </c>
      <c r="M86" s="10">
        <v>59.769599999999997</v>
      </c>
      <c r="N86" s="11">
        <v>6.5000000000000002E-2</v>
      </c>
      <c r="O86" s="12">
        <v>0.02</v>
      </c>
      <c r="P86" s="11">
        <v>3.5000000000000003E-2</v>
      </c>
      <c r="Q86" s="35">
        <v>125.41537128008713</v>
      </c>
      <c r="R86" s="12">
        <v>0.27954571783230964</v>
      </c>
      <c r="S86" s="10">
        <v>23.775067391583679</v>
      </c>
      <c r="T86" s="10">
        <v>9.9261303405075496E-2</v>
      </c>
      <c r="U86" s="22">
        <v>1</v>
      </c>
      <c r="V86" s="10">
        <v>22</v>
      </c>
      <c r="W86" s="10">
        <v>32.3752</v>
      </c>
      <c r="X86" s="40">
        <v>183.84506648617955</v>
      </c>
      <c r="Y86" s="39">
        <v>8.3565939311899786</v>
      </c>
      <c r="Z86" s="15">
        <v>0.60088660456151621</v>
      </c>
      <c r="AA86" s="10">
        <v>23.934958719912927</v>
      </c>
      <c r="AB86" s="10">
        <v>1774.1842000000001</v>
      </c>
      <c r="AC86" s="43">
        <v>0.2807374792312996</v>
      </c>
      <c r="AD86" s="43">
        <v>9.1648127216668235E-2</v>
      </c>
      <c r="AE86" s="44">
        <v>7018.4369807824896</v>
      </c>
      <c r="AF86" s="10">
        <v>4960</v>
      </c>
      <c r="AG86" s="10">
        <v>5434.6991599999992</v>
      </c>
      <c r="AH86" s="12">
        <v>9.1648127216668235E-2</v>
      </c>
      <c r="AI86" s="10">
        <v>11956.521739130436</v>
      </c>
      <c r="AJ86" s="10">
        <v>11978.43698078249</v>
      </c>
      <c r="AK86" s="5" t="s">
        <v>22</v>
      </c>
      <c r="AL86" s="5" t="s">
        <v>22</v>
      </c>
      <c r="AM86" s="4" t="s">
        <v>133</v>
      </c>
    </row>
    <row r="87" spans="1:39" x14ac:dyDescent="0.35">
      <c r="A87" s="5" t="s">
        <v>108</v>
      </c>
      <c r="B87" s="9" t="str">
        <f>VLOOKUP(D87,Auxiliar!A:C,2,0)</f>
        <v>PR FESTVAL</v>
      </c>
      <c r="C87" s="5" t="str">
        <f>VLOOKUP(D87,Auxiliar!A:C,3,0)</f>
        <v>Leandro</v>
      </c>
      <c r="D87" s="9" t="s">
        <v>45</v>
      </c>
      <c r="E87" s="16">
        <v>0.44535122723484644</v>
      </c>
      <c r="F87" s="24">
        <v>239.16680000000008</v>
      </c>
      <c r="G87" s="53">
        <v>0</v>
      </c>
      <c r="H87" s="10">
        <v>239.16680000000008</v>
      </c>
      <c r="I87" s="10">
        <v>185.89965637932119</v>
      </c>
      <c r="J87" s="10">
        <v>106.5132278938311</v>
      </c>
      <c r="K87" s="10">
        <v>18.478260869565219</v>
      </c>
      <c r="L87" s="10">
        <v>31.012317615924861</v>
      </c>
      <c r="M87" s="10">
        <v>29.89585000000001</v>
      </c>
      <c r="N87" s="11">
        <v>7.0000000000000007E-2</v>
      </c>
      <c r="O87" s="12">
        <v>0.02</v>
      </c>
      <c r="P87" s="11">
        <v>3.5000000000000003E-2</v>
      </c>
      <c r="Q87" s="35">
        <v>53.267143620678894</v>
      </c>
      <c r="R87" s="12">
        <v>0.22271964010338757</v>
      </c>
      <c r="S87" s="10">
        <v>0</v>
      </c>
      <c r="T87" s="10">
        <v>0</v>
      </c>
      <c r="U87" s="22">
        <v>1</v>
      </c>
      <c r="V87" s="10">
        <v>34</v>
      </c>
      <c r="W87" s="10">
        <v>16.741676000000009</v>
      </c>
      <c r="X87" s="40">
        <v>115.18845536780266</v>
      </c>
      <c r="Y87" s="39">
        <v>3.3878957461118429</v>
      </c>
      <c r="Z87" s="15">
        <v>0.57035122723484644</v>
      </c>
      <c r="AA87" s="10">
        <v>49.490578485490076</v>
      </c>
      <c r="AB87" s="10">
        <v>1774.1842000000001</v>
      </c>
      <c r="AC87" s="43">
        <v>0.13480381574810557</v>
      </c>
      <c r="AD87" s="43">
        <v>4.4007366913755744E-2</v>
      </c>
      <c r="AE87" s="44">
        <v>3370.0953937026393</v>
      </c>
      <c r="AF87" s="10">
        <v>27642.222222222223</v>
      </c>
      <c r="AG87" s="10">
        <v>5434.6991599999992</v>
      </c>
      <c r="AH87" s="12">
        <v>4.4007366913755744E-2</v>
      </c>
      <c r="AI87" s="10">
        <v>18478.26086956522</v>
      </c>
      <c r="AJ87" s="10">
        <v>31012.317615924861</v>
      </c>
      <c r="AK87" s="5" t="s">
        <v>22</v>
      </c>
      <c r="AL87" s="5" t="s">
        <v>22</v>
      </c>
      <c r="AM87" s="4" t="s">
        <v>133</v>
      </c>
    </row>
    <row r="88" spans="1:39" x14ac:dyDescent="0.35">
      <c r="A88" s="5" t="s">
        <v>108</v>
      </c>
      <c r="B88" s="9" t="str">
        <f>VLOOKUP(D88,Auxiliar!A:C,2,0)</f>
        <v>SC FORT</v>
      </c>
      <c r="C88" s="5" t="str">
        <f>VLOOKUP(D88,Auxiliar!A:C,3,0)</f>
        <v>Leandro</v>
      </c>
      <c r="D88" s="9" t="s">
        <v>26</v>
      </c>
      <c r="E88" s="16">
        <v>0.49411286336166343</v>
      </c>
      <c r="F88" s="24">
        <v>250.85200000000012</v>
      </c>
      <c r="G88" s="53">
        <v>0</v>
      </c>
      <c r="H88" s="10">
        <v>250.85200000000012</v>
      </c>
      <c r="I88" s="10">
        <v>182.02096961306859</v>
      </c>
      <c r="J88" s="10">
        <v>123.94920000000005</v>
      </c>
      <c r="K88" s="10">
        <v>13.043478260869566</v>
      </c>
      <c r="L88" s="10">
        <v>8.6547513521989448</v>
      </c>
      <c r="M88" s="10">
        <v>36.37354000000002</v>
      </c>
      <c r="N88" s="11">
        <v>0.09</v>
      </c>
      <c r="O88" s="12">
        <v>0.02</v>
      </c>
      <c r="P88" s="11">
        <v>3.5000000000000003E-2</v>
      </c>
      <c r="Q88" s="35">
        <v>68.831030386931531</v>
      </c>
      <c r="R88" s="12">
        <v>0.27438900382269826</v>
      </c>
      <c r="S88" s="10">
        <v>0</v>
      </c>
      <c r="T88" s="10">
        <v>0</v>
      </c>
      <c r="U88" s="22">
        <v>1</v>
      </c>
      <c r="V88" s="10">
        <v>24</v>
      </c>
      <c r="W88" s="10">
        <v>22.57668000000001</v>
      </c>
      <c r="X88" s="40">
        <v>60.124696643907853</v>
      </c>
      <c r="Y88" s="39">
        <v>2.5051956934961606</v>
      </c>
      <c r="Z88" s="15">
        <v>0.6391128633616634</v>
      </c>
      <c r="AA88" s="10">
        <v>21.698229613068513</v>
      </c>
      <c r="AB88" s="10">
        <v>1774.1842000000001</v>
      </c>
      <c r="AC88" s="43">
        <v>0.14139005408795777</v>
      </c>
      <c r="AD88" s="43">
        <v>4.6157476727745894E-2</v>
      </c>
      <c r="AE88" s="44">
        <v>3534.751352198944</v>
      </c>
      <c r="AF88" s="10">
        <v>5120</v>
      </c>
      <c r="AG88" s="10">
        <v>5434.6991599999992</v>
      </c>
      <c r="AH88" s="12">
        <v>4.6157476727745894E-2</v>
      </c>
      <c r="AI88" s="10">
        <v>13043.478260869566</v>
      </c>
      <c r="AJ88" s="10">
        <v>8654.751352198944</v>
      </c>
      <c r="AK88" s="5" t="s">
        <v>22</v>
      </c>
      <c r="AL88" s="5" t="s">
        <v>22</v>
      </c>
      <c r="AM88" s="4" t="s">
        <v>133</v>
      </c>
    </row>
    <row r="89" spans="1:39" x14ac:dyDescent="0.35">
      <c r="A89" s="5" t="s">
        <v>108</v>
      </c>
      <c r="B89" s="9" t="str">
        <f>VLOOKUP(D89,Auxiliar!A:C,2,0)</f>
        <v>SC HIPERBOM / HIPERSELECT</v>
      </c>
      <c r="C89" s="5" t="str">
        <f>VLOOKUP(D89,Auxiliar!A:C,3,0)</f>
        <v>Leandro</v>
      </c>
      <c r="D89" s="9" t="s">
        <v>27</v>
      </c>
      <c r="E89" s="16">
        <v>0.49932433835257717</v>
      </c>
      <c r="F89" s="24">
        <v>44.312119999999979</v>
      </c>
      <c r="G89" s="53">
        <v>0</v>
      </c>
      <c r="H89" s="10">
        <v>44.312119999999979</v>
      </c>
      <c r="I89" s="10">
        <v>34.63807655326854</v>
      </c>
      <c r="J89" s="10">
        <v>22.12611999999999</v>
      </c>
      <c r="K89" s="10">
        <v>5.4347826086956523</v>
      </c>
      <c r="L89" s="10">
        <v>2.4244013445729022</v>
      </c>
      <c r="M89" s="10">
        <v>4.6527725999999978</v>
      </c>
      <c r="N89" s="11">
        <v>0.05</v>
      </c>
      <c r="O89" s="12">
        <v>0.02</v>
      </c>
      <c r="P89" s="11">
        <v>3.5000000000000003E-2</v>
      </c>
      <c r="Q89" s="35">
        <v>9.6740434467314387</v>
      </c>
      <c r="R89" s="12">
        <v>0.21831596968800959</v>
      </c>
      <c r="S89" s="10">
        <v>0</v>
      </c>
      <c r="T89" s="10">
        <v>0</v>
      </c>
      <c r="U89" s="22">
        <v>1</v>
      </c>
      <c r="V89" s="10">
        <v>10</v>
      </c>
      <c r="W89" s="10">
        <v>2.2156059999999989</v>
      </c>
      <c r="X89" s="40">
        <v>19.862692389383518</v>
      </c>
      <c r="Y89" s="39">
        <v>1.9862692389383518</v>
      </c>
      <c r="Z89" s="15">
        <v>0.60432433835257715</v>
      </c>
      <c r="AA89" s="10">
        <v>7.8591839532685546</v>
      </c>
      <c r="AB89" s="10">
        <v>1774.1842000000001</v>
      </c>
      <c r="AC89" s="43">
        <v>2.4976053782916102E-2</v>
      </c>
      <c r="AD89" s="43">
        <v>8.15355527425367E-3</v>
      </c>
      <c r="AE89" s="44">
        <v>624.40134457290253</v>
      </c>
      <c r="AF89" s="10">
        <v>1800</v>
      </c>
      <c r="AG89" s="10">
        <v>5434.6991599999992</v>
      </c>
      <c r="AH89" s="12">
        <v>8.15355527425367E-3</v>
      </c>
      <c r="AI89" s="10">
        <v>5434.782608695652</v>
      </c>
      <c r="AJ89" s="10">
        <v>2424.4013445729024</v>
      </c>
      <c r="AK89" s="5" t="s">
        <v>22</v>
      </c>
      <c r="AL89" s="5" t="s">
        <v>22</v>
      </c>
      <c r="AM89" s="4" t="s">
        <v>133</v>
      </c>
    </row>
    <row r="90" spans="1:39" x14ac:dyDescent="0.35">
      <c r="A90" s="5" t="s">
        <v>108</v>
      </c>
      <c r="B90" s="9" t="str">
        <f>VLOOKUP(D90,Auxiliar!A:C,2,0)</f>
        <v>SC IMPERATRIZ</v>
      </c>
      <c r="C90" s="5" t="str">
        <f>VLOOKUP(D90,Auxiliar!A:C,3,0)</f>
        <v>Leandro</v>
      </c>
      <c r="D90" s="9" t="s">
        <v>28</v>
      </c>
      <c r="E90" s="16">
        <v>0.53384855495799077</v>
      </c>
      <c r="F90" s="24">
        <v>196.57560000000001</v>
      </c>
      <c r="G90" s="53">
        <v>12.303000000000001</v>
      </c>
      <c r="H90" s="10">
        <v>184.27260000000001</v>
      </c>
      <c r="I90" s="10">
        <v>145.61610219982725</v>
      </c>
      <c r="J90" s="10">
        <v>104.94160000000002</v>
      </c>
      <c r="K90" s="10">
        <v>9.7826086956521738</v>
      </c>
      <c r="L90" s="10">
        <v>6.319943504175046</v>
      </c>
      <c r="M90" s="10">
        <v>24.571950000000001</v>
      </c>
      <c r="N90" s="11">
        <v>7.0000000000000007E-2</v>
      </c>
      <c r="O90" s="12">
        <v>0.02</v>
      </c>
      <c r="P90" s="11">
        <v>3.5000000000000003E-2</v>
      </c>
      <c r="Q90" s="35">
        <v>38.656497800172758</v>
      </c>
      <c r="R90" s="12">
        <v>0.20977887000114373</v>
      </c>
      <c r="S90" s="10">
        <v>6.5679387716481612</v>
      </c>
      <c r="T90" s="10">
        <v>6.258660790047188E-2</v>
      </c>
      <c r="U90" s="22">
        <v>1</v>
      </c>
      <c r="V90" s="10">
        <v>18</v>
      </c>
      <c r="W90" s="10">
        <v>13.760292000000002</v>
      </c>
      <c r="X90" s="40">
        <v>83.263760457849955</v>
      </c>
      <c r="Y90" s="39">
        <v>4.6257644698805533</v>
      </c>
      <c r="Z90" s="15">
        <v>0.65884855495799077</v>
      </c>
      <c r="AA90" s="10">
        <v>16.102552199827219</v>
      </c>
      <c r="AB90" s="10">
        <v>1774.1842000000001</v>
      </c>
      <c r="AC90" s="43">
        <v>0.11079774016700182</v>
      </c>
      <c r="AD90" s="43">
        <v>3.6170465781587079E-2</v>
      </c>
      <c r="AE90" s="44">
        <v>2769.9435041750457</v>
      </c>
      <c r="AF90" s="10">
        <v>3550</v>
      </c>
      <c r="AG90" s="10">
        <v>5434.6991599999992</v>
      </c>
      <c r="AH90" s="12">
        <v>3.6170465781587079E-2</v>
      </c>
      <c r="AI90" s="10">
        <v>9782.608695652174</v>
      </c>
      <c r="AJ90" s="10">
        <v>6319.9435041750457</v>
      </c>
      <c r="AK90" s="5" t="s">
        <v>22</v>
      </c>
      <c r="AL90" s="5" t="s">
        <v>22</v>
      </c>
      <c r="AM90" s="4" t="s">
        <v>133</v>
      </c>
    </row>
    <row r="91" spans="1:39" x14ac:dyDescent="0.35">
      <c r="A91" s="5" t="s">
        <v>108</v>
      </c>
      <c r="B91" s="9" t="str">
        <f>VLOOKUP(D91,Auxiliar!A:C,2,0)</f>
        <v>RS ZAFFARI</v>
      </c>
      <c r="C91" s="5" t="str">
        <f>VLOOKUP(D91,Auxiliar!A:C,3,0)</f>
        <v>Leandro</v>
      </c>
      <c r="D91" s="9" t="s">
        <v>24</v>
      </c>
      <c r="E91" s="16">
        <v>0.58638754319398345</v>
      </c>
      <c r="F91" s="24">
        <v>472.2879999999999</v>
      </c>
      <c r="G91" s="53">
        <v>75.077100000000002</v>
      </c>
      <c r="H91" s="10">
        <v>397.21089999999992</v>
      </c>
      <c r="I91" s="10">
        <v>401.74583277332221</v>
      </c>
      <c r="J91" s="10">
        <v>276.94380000000001</v>
      </c>
      <c r="K91" s="10">
        <v>21.739130434782609</v>
      </c>
      <c r="L91" s="10">
        <v>29.858262338539593</v>
      </c>
      <c r="M91" s="10">
        <v>73.204639999999998</v>
      </c>
      <c r="N91" s="11">
        <v>0.1</v>
      </c>
      <c r="O91" s="12">
        <v>0.02</v>
      </c>
      <c r="P91" s="11">
        <v>3.5000000000000003E-2</v>
      </c>
      <c r="Q91" s="35">
        <v>-4.5349327733222822</v>
      </c>
      <c r="R91" s="12">
        <v>-1.1416939397489553E-2</v>
      </c>
      <c r="S91" s="10">
        <v>44.024276219129014</v>
      </c>
      <c r="T91" s="10">
        <v>0.1589646571583441</v>
      </c>
      <c r="U91" s="22">
        <v>1</v>
      </c>
      <c r="V91" s="10">
        <v>40</v>
      </c>
      <c r="W91" s="10">
        <v>47.228799999999993</v>
      </c>
      <c r="X91" s="40">
        <v>489.82363161392453</v>
      </c>
      <c r="Y91" s="39">
        <v>12.245590790348114</v>
      </c>
      <c r="Z91" s="15">
        <v>0.74138754319398348</v>
      </c>
      <c r="AA91" s="10">
        <v>51.597392773322198</v>
      </c>
      <c r="AB91" s="10">
        <v>1774.1842000000001</v>
      </c>
      <c r="AC91" s="43">
        <v>0.26620009354158369</v>
      </c>
      <c r="AD91" s="43">
        <v>8.6902326346984027E-2</v>
      </c>
      <c r="AE91" s="44">
        <v>6655.0023385395925</v>
      </c>
      <c r="AF91" s="10">
        <v>23203.260000000002</v>
      </c>
      <c r="AG91" s="10">
        <v>5434.6991599999992</v>
      </c>
      <c r="AH91" s="12">
        <v>8.6902326346984027E-2</v>
      </c>
      <c r="AI91" s="10">
        <v>21739.130434782608</v>
      </c>
      <c r="AJ91" s="10">
        <v>29858.262338539593</v>
      </c>
      <c r="AK91" s="5" t="s">
        <v>22</v>
      </c>
      <c r="AL91" s="5" t="s">
        <v>22</v>
      </c>
      <c r="AM91" s="4" t="s">
        <v>133</v>
      </c>
    </row>
    <row r="92" spans="1:39" x14ac:dyDescent="0.35">
      <c r="A92" s="5" t="s">
        <v>108</v>
      </c>
      <c r="B92" s="9" t="str">
        <f>VLOOKUP(D92,Auxiliar!A:C,2,0)</f>
        <v>SP DUFRY</v>
      </c>
      <c r="C92" s="5" t="str">
        <f>VLOOKUP(D92,Auxiliar!A:C,3,0)</f>
        <v>Luisa</v>
      </c>
      <c r="D92" s="9" t="s">
        <v>65</v>
      </c>
      <c r="E92" s="16">
        <v>0.59939380946000276</v>
      </c>
      <c r="F92" s="24">
        <v>149.25999999999996</v>
      </c>
      <c r="G92" s="53">
        <v>0</v>
      </c>
      <c r="H92" s="10">
        <v>149.25999999999996</v>
      </c>
      <c r="I92" s="10">
        <v>112.67481999999998</v>
      </c>
      <c r="J92" s="10">
        <v>89.465519999999984</v>
      </c>
      <c r="K92" s="10">
        <v>5</v>
      </c>
      <c r="L92" s="10">
        <v>10</v>
      </c>
      <c r="M92" s="10">
        <v>8.2092999999999989</v>
      </c>
      <c r="N92" s="11">
        <v>0</v>
      </c>
      <c r="O92" s="12">
        <v>0.02</v>
      </c>
      <c r="P92" s="11">
        <v>3.5000000000000003E-2</v>
      </c>
      <c r="Q92" s="35">
        <v>36.58517999999998</v>
      </c>
      <c r="R92" s="12">
        <v>0.24511041136272269</v>
      </c>
      <c r="S92" s="10">
        <v>0</v>
      </c>
      <c r="T92" s="10">
        <v>0</v>
      </c>
      <c r="U92" s="22">
        <v>1</v>
      </c>
      <c r="V92" s="10">
        <v>0</v>
      </c>
      <c r="W92" s="10">
        <v>0</v>
      </c>
      <c r="X92" s="40">
        <v>43.402000341958697</v>
      </c>
      <c r="Y92" s="39">
        <v>43.402000341958697</v>
      </c>
      <c r="Z92" s="15">
        <v>0.65439380946000281</v>
      </c>
      <c r="AA92" s="10">
        <v>15</v>
      </c>
      <c r="AB92" s="10">
        <v>149.25999999999996</v>
      </c>
      <c r="AC92" s="43">
        <v>1</v>
      </c>
      <c r="AD92" s="43">
        <v>2.7464261701654152E-2</v>
      </c>
      <c r="AE92" s="44">
        <v>10000</v>
      </c>
      <c r="AF92" s="10">
        <v>0</v>
      </c>
      <c r="AG92" s="10">
        <v>5434.6991599999992</v>
      </c>
      <c r="AH92" s="12">
        <v>2.7464261701654152E-2</v>
      </c>
      <c r="AI92" s="10">
        <v>0</v>
      </c>
      <c r="AJ92" s="10">
        <v>10000</v>
      </c>
      <c r="AK92" s="5" t="s">
        <v>113</v>
      </c>
      <c r="AL92" s="5" t="s">
        <v>113</v>
      </c>
      <c r="AM92" s="4" t="s">
        <v>133</v>
      </c>
    </row>
    <row r="93" spans="1:39" x14ac:dyDescent="0.35">
      <c r="A93" s="5" t="s">
        <v>108</v>
      </c>
      <c r="B93" s="9" t="str">
        <f>VLOOKUP(D93,Auxiliar!A:C,2,0)</f>
        <v>DF ASSAI</v>
      </c>
      <c r="C93" s="5" t="str">
        <f>VLOOKUP(D93,Auxiliar!A:C,3,0)</f>
        <v>Luiz</v>
      </c>
      <c r="D93" s="9" t="s">
        <v>30</v>
      </c>
      <c r="E93" s="16">
        <v>0</v>
      </c>
      <c r="F93" s="24">
        <v>0</v>
      </c>
      <c r="G93" s="53">
        <v>28.679220000000001</v>
      </c>
      <c r="H93" s="10">
        <v>-28.679220000000001</v>
      </c>
      <c r="I93" s="10">
        <v>2.9739130434782615</v>
      </c>
      <c r="J93" s="10">
        <v>0</v>
      </c>
      <c r="K93" s="10">
        <v>2.1739130434782612</v>
      </c>
      <c r="L93" s="10">
        <v>0.8</v>
      </c>
      <c r="M93" s="10">
        <v>0</v>
      </c>
      <c r="N93" s="11">
        <v>0.02</v>
      </c>
      <c r="O93" s="12">
        <v>0.02</v>
      </c>
      <c r="P93" s="11">
        <v>3.5000000000000003E-2</v>
      </c>
      <c r="Q93" s="35">
        <v>-31.653133043478263</v>
      </c>
      <c r="R93" s="12">
        <v>1.1036957435898975</v>
      </c>
      <c r="S93" s="10">
        <v>0</v>
      </c>
      <c r="T93" s="10">
        <v>0</v>
      </c>
      <c r="U93" s="22">
        <v>1</v>
      </c>
      <c r="V93" s="10">
        <v>4</v>
      </c>
      <c r="W93" s="10">
        <v>0</v>
      </c>
      <c r="X93" s="40">
        <v>34.219603290246766</v>
      </c>
      <c r="Y93" s="39">
        <v>8.5549008225616916</v>
      </c>
      <c r="Z93" s="15">
        <v>7.5000000000000011E-2</v>
      </c>
      <c r="AA93" s="10">
        <v>2.9739130434782615</v>
      </c>
      <c r="AB93" s="10">
        <v>3099.8139599999995</v>
      </c>
      <c r="AC93" s="43">
        <v>0</v>
      </c>
      <c r="AD93" s="43">
        <v>0</v>
      </c>
      <c r="AE93" s="44">
        <v>0</v>
      </c>
      <c r="AF93" s="10">
        <v>800</v>
      </c>
      <c r="AG93" s="10">
        <v>5434.6991599999992</v>
      </c>
      <c r="AH93" s="12">
        <v>0</v>
      </c>
      <c r="AI93" s="10">
        <v>2173.913043478261</v>
      </c>
      <c r="AJ93" s="10">
        <v>800</v>
      </c>
      <c r="AK93" s="5" t="s">
        <v>29</v>
      </c>
      <c r="AL93" s="5" t="s">
        <v>29</v>
      </c>
      <c r="AM93" s="4" t="s">
        <v>133</v>
      </c>
    </row>
    <row r="94" spans="1:39" x14ac:dyDescent="0.35">
      <c r="A94" s="5" t="s">
        <v>108</v>
      </c>
      <c r="B94" s="9" t="str">
        <f>VLOOKUP(D94,Auxiliar!A:C,2,0)</f>
        <v>DF ASSAI</v>
      </c>
      <c r="C94" s="5" t="str">
        <f>VLOOKUP(D94,Auxiliar!A:C,3,0)</f>
        <v>Luiz</v>
      </c>
      <c r="D94" s="9" t="s">
        <v>35</v>
      </c>
      <c r="E94" s="16">
        <v>0.46515152410964677</v>
      </c>
      <c r="F94" s="24">
        <v>0</v>
      </c>
      <c r="G94" s="53">
        <v>0.58779999999999999</v>
      </c>
      <c r="H94" s="10">
        <v>-0.58779999999999999</v>
      </c>
      <c r="I94" s="10">
        <v>0.71013826086956533</v>
      </c>
      <c r="J94" s="10">
        <v>0</v>
      </c>
      <c r="K94" s="10">
        <v>0.5434782608695653</v>
      </c>
      <c r="L94" s="10">
        <v>0.16666</v>
      </c>
      <c r="M94" s="10">
        <v>0</v>
      </c>
      <c r="N94" s="11">
        <v>0.02</v>
      </c>
      <c r="O94" s="12">
        <v>0.02</v>
      </c>
      <c r="P94" s="11">
        <v>3.5000000000000003E-2</v>
      </c>
      <c r="Q94" s="35">
        <v>-1.2979382608695653</v>
      </c>
      <c r="R94" s="12">
        <v>2.2081290589819078</v>
      </c>
      <c r="S94" s="10">
        <v>0.27341606587165035</v>
      </c>
      <c r="T94" s="10">
        <v>0</v>
      </c>
      <c r="U94" s="22">
        <v>1</v>
      </c>
      <c r="V94" s="10">
        <v>1</v>
      </c>
      <c r="W94" s="10">
        <v>0</v>
      </c>
      <c r="X94" s="40">
        <v>2.8225346585231419</v>
      </c>
      <c r="Y94" s="39">
        <v>2.8225346585231419</v>
      </c>
      <c r="Z94" s="15">
        <v>0.54015152410964684</v>
      </c>
      <c r="AA94" s="10">
        <v>0.71013826086956533</v>
      </c>
      <c r="AB94" s="10">
        <v>3099.8139599999995</v>
      </c>
      <c r="AC94" s="43">
        <v>0</v>
      </c>
      <c r="AD94" s="43">
        <v>0</v>
      </c>
      <c r="AE94" s="44">
        <v>0</v>
      </c>
      <c r="AF94" s="10">
        <v>166.66</v>
      </c>
      <c r="AG94" s="10">
        <v>5434.6991599999992</v>
      </c>
      <c r="AH94" s="12">
        <v>0</v>
      </c>
      <c r="AI94" s="10">
        <v>543.47826086956525</v>
      </c>
      <c r="AJ94" s="10">
        <v>166.66</v>
      </c>
      <c r="AK94" s="5" t="s">
        <v>29</v>
      </c>
      <c r="AL94" s="5" t="s">
        <v>29</v>
      </c>
      <c r="AM94" s="4" t="s">
        <v>133</v>
      </c>
    </row>
    <row r="95" spans="1:39" x14ac:dyDescent="0.35">
      <c r="A95" s="5" t="s">
        <v>108</v>
      </c>
      <c r="B95" s="9" t="str">
        <f>VLOOKUP(D95,Auxiliar!A:C,2,0)</f>
        <v>MG ASSAI</v>
      </c>
      <c r="C95" s="5" t="str">
        <f>VLOOKUP(D95,Auxiliar!A:C,3,0)</f>
        <v>Luiz</v>
      </c>
      <c r="D95" s="9" t="s">
        <v>37</v>
      </c>
      <c r="E95" s="16">
        <v>0.46619122565414128</v>
      </c>
      <c r="F95" s="24">
        <v>40.664000000000009</v>
      </c>
      <c r="G95" s="53">
        <v>11.645</v>
      </c>
      <c r="H95" s="10">
        <v>29.019000000000009</v>
      </c>
      <c r="I95" s="10">
        <v>26.492857490578618</v>
      </c>
      <c r="J95" s="10">
        <v>18.957200000000004</v>
      </c>
      <c r="K95" s="10">
        <v>3.2608695652173916</v>
      </c>
      <c r="L95" s="10">
        <v>1.2249879253612244</v>
      </c>
      <c r="M95" s="10">
        <v>3.0498000000000012</v>
      </c>
      <c r="N95" s="11">
        <v>0.02</v>
      </c>
      <c r="O95" s="12">
        <v>0.02</v>
      </c>
      <c r="P95" s="11">
        <v>3.5000000000000003E-2</v>
      </c>
      <c r="Q95" s="35">
        <v>2.5261425094213905</v>
      </c>
      <c r="R95" s="12">
        <v>8.7051328764650396E-2</v>
      </c>
      <c r="S95" s="10">
        <v>5.4287968227424752</v>
      </c>
      <c r="T95" s="10">
        <v>0.28637123745819393</v>
      </c>
      <c r="U95" s="22">
        <v>1</v>
      </c>
      <c r="V95" s="10">
        <v>6</v>
      </c>
      <c r="W95" s="10">
        <v>0.81328000000000022</v>
      </c>
      <c r="X95" s="40">
        <v>35.158127726691802</v>
      </c>
      <c r="Y95" s="39">
        <v>5.859687954448634</v>
      </c>
      <c r="Z95" s="15">
        <v>0.54119122565414135</v>
      </c>
      <c r="AA95" s="10">
        <v>4.4858574905786162</v>
      </c>
      <c r="AB95" s="10">
        <v>3099.8139599999995</v>
      </c>
      <c r="AC95" s="43">
        <v>1.3118206616502887E-2</v>
      </c>
      <c r="AD95" s="43">
        <v>7.4822908872843692E-3</v>
      </c>
      <c r="AE95" s="44">
        <v>327.95516541257217</v>
      </c>
      <c r="AF95" s="10">
        <v>897.03275994865214</v>
      </c>
      <c r="AG95" s="10">
        <v>5434.6991599999992</v>
      </c>
      <c r="AH95" s="12">
        <v>7.4822908872843692E-3</v>
      </c>
      <c r="AI95" s="10">
        <v>3260.8695652173915</v>
      </c>
      <c r="AJ95" s="10">
        <v>1224.9879253612244</v>
      </c>
      <c r="AK95" s="5" t="s">
        <v>29</v>
      </c>
      <c r="AL95" s="5" t="s">
        <v>29</v>
      </c>
      <c r="AM95" s="4" t="s">
        <v>133</v>
      </c>
    </row>
    <row r="96" spans="1:39" x14ac:dyDescent="0.35">
      <c r="A96" s="5" t="s">
        <v>108</v>
      </c>
      <c r="B96" s="9" t="str">
        <f>VLOOKUP(D96,Auxiliar!A:C,2,0)</f>
        <v>MG BAHAMAS</v>
      </c>
      <c r="C96" s="5" t="str">
        <f>VLOOKUP(D96,Auxiliar!A:C,3,0)</f>
        <v>Luiz</v>
      </c>
      <c r="D96" s="9" t="s">
        <v>38</v>
      </c>
      <c r="E96" s="16">
        <v>0.50567592540212336</v>
      </c>
      <c r="F96" s="24">
        <v>169.69920000000002</v>
      </c>
      <c r="G96" s="53">
        <v>34.82376</v>
      </c>
      <c r="H96" s="10">
        <v>134.87544000000003</v>
      </c>
      <c r="I96" s="10">
        <v>153.19455607058779</v>
      </c>
      <c r="J96" s="10">
        <v>85.812800000000024</v>
      </c>
      <c r="K96" s="10">
        <v>37.5</v>
      </c>
      <c r="L96" s="10">
        <v>11.21484407058778</v>
      </c>
      <c r="M96" s="10">
        <v>18.666912000000004</v>
      </c>
      <c r="N96" s="11">
        <v>5.5E-2</v>
      </c>
      <c r="O96" s="12">
        <v>0.02</v>
      </c>
      <c r="P96" s="11">
        <v>3.5000000000000003E-2</v>
      </c>
      <c r="Q96" s="35">
        <v>-18.319116070587768</v>
      </c>
      <c r="R96" s="12">
        <v>-0.13582247494864716</v>
      </c>
      <c r="S96" s="10">
        <v>17.609537063981449</v>
      </c>
      <c r="T96" s="10">
        <v>0.20520874582791196</v>
      </c>
      <c r="U96" s="22">
        <v>1</v>
      </c>
      <c r="V96" s="10">
        <v>69</v>
      </c>
      <c r="W96" s="10">
        <v>9.3334560000000018</v>
      </c>
      <c r="X96" s="40">
        <v>217.3650041517574</v>
      </c>
      <c r="Y96" s="39">
        <v>3.1502174514747452</v>
      </c>
      <c r="Z96" s="15">
        <v>0.61567592540212335</v>
      </c>
      <c r="AA96" s="10">
        <v>48.71484407058778</v>
      </c>
      <c r="AB96" s="10">
        <v>3099.8139599999995</v>
      </c>
      <c r="AC96" s="43">
        <v>5.4744962823510879E-2</v>
      </c>
      <c r="AD96" s="43">
        <v>3.1225132248166622E-2</v>
      </c>
      <c r="AE96" s="44">
        <v>1368.6240705877719</v>
      </c>
      <c r="AF96" s="10">
        <v>9846.2200000000084</v>
      </c>
      <c r="AG96" s="10">
        <v>5434.6991599999992</v>
      </c>
      <c r="AH96" s="12">
        <v>3.1225132248166622E-2</v>
      </c>
      <c r="AI96" s="10">
        <v>37500</v>
      </c>
      <c r="AJ96" s="10">
        <v>11214.84407058778</v>
      </c>
      <c r="AK96" s="5" t="s">
        <v>29</v>
      </c>
      <c r="AL96" s="5" t="s">
        <v>29</v>
      </c>
      <c r="AM96" s="4" t="s">
        <v>133</v>
      </c>
    </row>
    <row r="97" spans="1:39" x14ac:dyDescent="0.35">
      <c r="A97" s="5" t="s">
        <v>108</v>
      </c>
      <c r="B97" s="9" t="str">
        <f>VLOOKUP(D97,Auxiliar!A:C,2,0)</f>
        <v>MG BH</v>
      </c>
      <c r="C97" s="5" t="str">
        <f>VLOOKUP(D97,Auxiliar!A:C,3,0)</f>
        <v>Luiz</v>
      </c>
      <c r="D97" s="9" t="s">
        <v>39</v>
      </c>
      <c r="E97" s="16">
        <v>0.48019776250649704</v>
      </c>
      <c r="F97" s="24">
        <v>152.38480000000013</v>
      </c>
      <c r="G97" s="53">
        <v>63.280290000000001</v>
      </c>
      <c r="H97" s="10">
        <v>89.104510000000118</v>
      </c>
      <c r="I97" s="10">
        <v>164.38767745003176</v>
      </c>
      <c r="J97" s="10">
        <v>73.174840000000117</v>
      </c>
      <c r="K97" s="10">
        <v>57.065217391304351</v>
      </c>
      <c r="L97" s="10">
        <v>21.19491205872729</v>
      </c>
      <c r="M97" s="10">
        <v>12.952708000000012</v>
      </c>
      <c r="N97" s="11">
        <v>0.03</v>
      </c>
      <c r="O97" s="12">
        <v>0.02</v>
      </c>
      <c r="P97" s="11">
        <v>3.5000000000000003E-2</v>
      </c>
      <c r="Q97" s="35">
        <v>-75.283167450031641</v>
      </c>
      <c r="R97" s="12">
        <v>-0.84488616176702547</v>
      </c>
      <c r="S97" s="10">
        <v>30.38705366876226</v>
      </c>
      <c r="T97" s="10">
        <v>0.41526641764795402</v>
      </c>
      <c r="U97" s="22">
        <v>1</v>
      </c>
      <c r="V97" s="10">
        <v>105</v>
      </c>
      <c r="W97" s="10">
        <v>4.5715440000000038</v>
      </c>
      <c r="X97" s="40">
        <v>325.52826835935173</v>
      </c>
      <c r="Y97" s="39">
        <v>3.1002692224700166</v>
      </c>
      <c r="Z97" s="15">
        <v>0.565197762506497</v>
      </c>
      <c r="AA97" s="10">
        <v>78.260129450031641</v>
      </c>
      <c r="AB97" s="10">
        <v>3099.8139599999995</v>
      </c>
      <c r="AC97" s="43">
        <v>4.9159337291325753E-2</v>
      </c>
      <c r="AD97" s="43">
        <v>2.8039233730096692E-2</v>
      </c>
      <c r="AE97" s="44">
        <v>1228.9834322831439</v>
      </c>
      <c r="AF97" s="10">
        <v>19965.928626444147</v>
      </c>
      <c r="AG97" s="10">
        <v>5434.6991599999992</v>
      </c>
      <c r="AH97" s="12">
        <v>2.8039233730096692E-2</v>
      </c>
      <c r="AI97" s="10">
        <v>57065.217391304352</v>
      </c>
      <c r="AJ97" s="10">
        <v>21194.912058727292</v>
      </c>
      <c r="AK97" s="5" t="s">
        <v>29</v>
      </c>
      <c r="AL97" s="5" t="s">
        <v>29</v>
      </c>
      <c r="AM97" s="4" t="s">
        <v>133</v>
      </c>
    </row>
    <row r="98" spans="1:39" x14ac:dyDescent="0.35">
      <c r="A98" s="5" t="s">
        <v>108</v>
      </c>
      <c r="B98" s="9" t="str">
        <f>VLOOKUP(D98,Auxiliar!A:C,2,0)</f>
        <v>SP BOA</v>
      </c>
      <c r="C98" s="5" t="str">
        <f>VLOOKUP(D98,Auxiliar!A:C,3,0)</f>
        <v>Julliano</v>
      </c>
      <c r="D98" s="9" t="s">
        <v>49</v>
      </c>
      <c r="E98" s="16">
        <v>0.50217980968068254</v>
      </c>
      <c r="F98" s="24">
        <v>26.80968</v>
      </c>
      <c r="G98" s="53">
        <v>0</v>
      </c>
      <c r="H98" s="10">
        <v>26.80968</v>
      </c>
      <c r="I98" s="10">
        <v>32.187542443823368</v>
      </c>
      <c r="J98" s="10">
        <v>13.463280000000001</v>
      </c>
      <c r="K98" s="10">
        <v>11.413043478260869</v>
      </c>
      <c r="L98" s="10">
        <v>3.9600089655624982</v>
      </c>
      <c r="M98" s="10">
        <v>3.35121</v>
      </c>
      <c r="N98" s="11">
        <v>7.0000000000000007E-2</v>
      </c>
      <c r="O98" s="12">
        <v>0.02</v>
      </c>
      <c r="P98" s="11">
        <v>3.5000000000000003E-2</v>
      </c>
      <c r="Q98" s="35">
        <v>-5.3778624438233678</v>
      </c>
      <c r="R98" s="12">
        <v>-0.20059405572253633</v>
      </c>
      <c r="S98" s="10">
        <v>0</v>
      </c>
      <c r="T98" s="10">
        <v>0</v>
      </c>
      <c r="U98" s="22">
        <v>1</v>
      </c>
      <c r="V98" s="10">
        <v>21</v>
      </c>
      <c r="W98" s="10">
        <v>1.8766776000000003</v>
      </c>
      <c r="X98" s="40">
        <v>41.234495456526837</v>
      </c>
      <c r="Y98" s="39">
        <v>1.9635474026917541</v>
      </c>
      <c r="Z98" s="15">
        <v>0.62717980968068254</v>
      </c>
      <c r="AA98" s="10">
        <v>15.373052443823367</v>
      </c>
      <c r="AB98" s="10">
        <v>411.44099999999986</v>
      </c>
      <c r="AC98" s="43">
        <v>6.5160448278124949E-2</v>
      </c>
      <c r="AD98" s="43">
        <v>4.9330568649176166E-3</v>
      </c>
      <c r="AE98" s="44">
        <v>1303.2089655624991</v>
      </c>
      <c r="AF98" s="10">
        <v>2656.7999999999993</v>
      </c>
      <c r="AG98" s="10">
        <v>5434.6991599999992</v>
      </c>
      <c r="AH98" s="12">
        <v>4.9330568649176166E-3</v>
      </c>
      <c r="AI98" s="10">
        <v>11413.04347826087</v>
      </c>
      <c r="AJ98" s="10">
        <v>3960.0089655624984</v>
      </c>
      <c r="AK98" s="5" t="s">
        <v>113</v>
      </c>
      <c r="AL98" s="5" t="s">
        <v>130</v>
      </c>
      <c r="AM98" s="4" t="s">
        <v>133</v>
      </c>
    </row>
    <row r="99" spans="1:39" x14ac:dyDescent="0.35">
      <c r="A99" s="5" t="s">
        <v>108</v>
      </c>
      <c r="B99" s="9" t="str">
        <f>VLOOKUP(D99,Auxiliar!A:C,2,0)</f>
        <v>ES Carone</v>
      </c>
      <c r="C99" s="5" t="str">
        <f>VLOOKUP(D99,Auxiliar!A:C,3,0)</f>
        <v>Luiz</v>
      </c>
      <c r="D99" s="9" t="s">
        <v>63</v>
      </c>
      <c r="E99" s="16">
        <v>0.55454154727793692</v>
      </c>
      <c r="F99" s="24">
        <v>139.60000000000002</v>
      </c>
      <c r="G99" s="53">
        <v>0</v>
      </c>
      <c r="H99" s="10">
        <v>139.60000000000002</v>
      </c>
      <c r="I99" s="10">
        <v>96.692178366407518</v>
      </c>
      <c r="J99" s="10">
        <v>77.414000000000001</v>
      </c>
      <c r="K99" s="10">
        <v>4.8913043478260869</v>
      </c>
      <c r="L99" s="10">
        <v>2.5208740185814249</v>
      </c>
      <c r="M99" s="10">
        <v>11.866000000000003</v>
      </c>
      <c r="N99" s="11">
        <v>0.03</v>
      </c>
      <c r="O99" s="12">
        <v>0.02</v>
      </c>
      <c r="P99" s="11">
        <v>3.5000000000000003E-2</v>
      </c>
      <c r="Q99" s="35">
        <v>42.907821633592505</v>
      </c>
      <c r="R99" s="12">
        <v>0.30736261915180874</v>
      </c>
      <c r="S99" s="10">
        <v>0</v>
      </c>
      <c r="T99" s="10">
        <v>0</v>
      </c>
      <c r="U99" s="22">
        <v>1</v>
      </c>
      <c r="V99" s="10">
        <v>9</v>
      </c>
      <c r="W99" s="10">
        <v>4.1880000000000006</v>
      </c>
      <c r="X99" s="40">
        <v>20.563197534787129</v>
      </c>
      <c r="Y99" s="39">
        <v>2.2847997260874586</v>
      </c>
      <c r="Z99" s="15">
        <v>0.63954154727793688</v>
      </c>
      <c r="AA99" s="10">
        <v>7.4121783664075114</v>
      </c>
      <c r="AB99" s="10">
        <v>3099.8139599999995</v>
      </c>
      <c r="AC99" s="43">
        <v>4.5034960743257003E-2</v>
      </c>
      <c r="AD99" s="43">
        <v>2.5686794409425975E-2</v>
      </c>
      <c r="AE99" s="44">
        <v>1125.8740185814252</v>
      </c>
      <c r="AF99" s="10">
        <v>1395</v>
      </c>
      <c r="AG99" s="10">
        <v>5434.6991599999992</v>
      </c>
      <c r="AH99" s="12">
        <v>2.5686794409425975E-2</v>
      </c>
      <c r="AI99" s="10">
        <v>4891.304347826087</v>
      </c>
      <c r="AJ99" s="10">
        <v>2520.8740185814249</v>
      </c>
      <c r="AK99" s="5" t="s">
        <v>29</v>
      </c>
      <c r="AL99" s="5" t="s">
        <v>29</v>
      </c>
      <c r="AM99" s="4" t="s">
        <v>133</v>
      </c>
    </row>
    <row r="100" spans="1:39" x14ac:dyDescent="0.35">
      <c r="A100" s="5" t="s">
        <v>108</v>
      </c>
      <c r="B100" s="9" t="str">
        <f>VLOOKUP(D100,Auxiliar!A:C,2,0)</f>
        <v>ES Carone</v>
      </c>
      <c r="C100" s="5" t="str">
        <f>VLOOKUP(D100,Auxiliar!A:C,3,0)</f>
        <v>Luiz</v>
      </c>
      <c r="D100" s="9" t="s">
        <v>64</v>
      </c>
      <c r="E100" s="16">
        <v>0.5562156334231807</v>
      </c>
      <c r="F100" s="24">
        <v>18.55</v>
      </c>
      <c r="G100" s="53">
        <v>12.9924</v>
      </c>
      <c r="H100" s="10">
        <v>5.5576000000000008</v>
      </c>
      <c r="I100" s="10">
        <v>12.587634013338659</v>
      </c>
      <c r="J100" s="10">
        <v>10.317800000000002</v>
      </c>
      <c r="K100" s="10">
        <v>0.5434782608695653</v>
      </c>
      <c r="L100" s="10">
        <v>0.14960575246909338</v>
      </c>
      <c r="M100" s="10">
        <v>1.5767500000000001</v>
      </c>
      <c r="N100" s="11">
        <v>0.03</v>
      </c>
      <c r="O100" s="12">
        <v>0.02</v>
      </c>
      <c r="P100" s="11">
        <v>3.5000000000000003E-2</v>
      </c>
      <c r="Q100" s="35">
        <v>-7.0300340133386587</v>
      </c>
      <c r="R100" s="12">
        <v>-1.264940624251234</v>
      </c>
      <c r="S100" s="10">
        <v>7.226575995687333</v>
      </c>
      <c r="T100" s="10">
        <v>0.7003989218328841</v>
      </c>
      <c r="U100" s="22">
        <v>1</v>
      </c>
      <c r="V100" s="10">
        <v>1</v>
      </c>
      <c r="W100" s="10">
        <v>0.55649999999999999</v>
      </c>
      <c r="X100" s="40">
        <v>38.14403660870898</v>
      </c>
      <c r="Y100" s="39">
        <v>38.14403660870898</v>
      </c>
      <c r="Z100" s="15">
        <v>0.64121563342318066</v>
      </c>
      <c r="AA100" s="10">
        <v>0.69308401333865866</v>
      </c>
      <c r="AB100" s="10">
        <v>3099.8139599999995</v>
      </c>
      <c r="AC100" s="43">
        <v>5.9842300987637351E-3</v>
      </c>
      <c r="AD100" s="43">
        <v>3.4132524089889094E-3</v>
      </c>
      <c r="AE100" s="44">
        <v>149.60575246909337</v>
      </c>
      <c r="AF100" s="10">
        <v>0</v>
      </c>
      <c r="AG100" s="10">
        <v>5434.6991599999992</v>
      </c>
      <c r="AH100" s="12">
        <v>3.4132524089889094E-3</v>
      </c>
      <c r="AI100" s="10">
        <v>543.47826086956525</v>
      </c>
      <c r="AJ100" s="10">
        <v>149.60575246909337</v>
      </c>
      <c r="AK100" s="5" t="s">
        <v>29</v>
      </c>
      <c r="AL100" s="5" t="s">
        <v>29</v>
      </c>
      <c r="AM100" s="4" t="s">
        <v>133</v>
      </c>
    </row>
    <row r="101" spans="1:39" x14ac:dyDescent="0.35">
      <c r="A101" s="5" t="s">
        <v>108</v>
      </c>
      <c r="B101" s="9" t="str">
        <f>VLOOKUP(D101,Auxiliar!A:C,2,0)</f>
        <v>DF DONA</v>
      </c>
      <c r="C101" s="5" t="str">
        <f>VLOOKUP(D101,Auxiliar!A:C,3,0)</f>
        <v>Luiz</v>
      </c>
      <c r="D101" s="9" t="s">
        <v>33</v>
      </c>
      <c r="E101" s="16">
        <v>0.47690005261340179</v>
      </c>
      <c r="F101" s="24">
        <v>39.852399999999996</v>
      </c>
      <c r="G101" s="53">
        <v>0.78397220000000001</v>
      </c>
      <c r="H101" s="10">
        <v>39.068427799999995</v>
      </c>
      <c r="I101" s="10">
        <v>36.097083963727052</v>
      </c>
      <c r="J101" s="10">
        <v>19.005611656770331</v>
      </c>
      <c r="K101" s="10">
        <v>9.7826086956521738</v>
      </c>
      <c r="L101" s="10">
        <v>3.9214096113045445</v>
      </c>
      <c r="M101" s="10">
        <v>3.387454</v>
      </c>
      <c r="N101" s="11">
        <v>0.03</v>
      </c>
      <c r="O101" s="12">
        <v>0.02</v>
      </c>
      <c r="P101" s="11">
        <v>3.5000000000000003E-2</v>
      </c>
      <c r="Q101" s="35">
        <v>2.9713438362729434</v>
      </c>
      <c r="R101" s="12">
        <v>7.6054860755695522E-2</v>
      </c>
      <c r="S101" s="10">
        <v>0.37387638342744434</v>
      </c>
      <c r="T101" s="10">
        <v>1.9671894289929843E-2</v>
      </c>
      <c r="U101" s="22">
        <v>1</v>
      </c>
      <c r="V101" s="10">
        <v>18</v>
      </c>
      <c r="W101" s="10">
        <v>1.1955719999999999</v>
      </c>
      <c r="X101" s="40">
        <v>33.07005762813273</v>
      </c>
      <c r="Y101" s="39">
        <v>1.8372254237851517</v>
      </c>
      <c r="Z101" s="15">
        <v>0.56190005261340181</v>
      </c>
      <c r="AA101" s="10">
        <v>13.704018306956719</v>
      </c>
      <c r="AB101" s="10">
        <v>3099.8139599999995</v>
      </c>
      <c r="AC101" s="43">
        <v>1.285638445218177E-2</v>
      </c>
      <c r="AD101" s="43">
        <v>7.332954194285154E-3</v>
      </c>
      <c r="AE101" s="44">
        <v>321.40961130454423</v>
      </c>
      <c r="AF101" s="10">
        <v>3600</v>
      </c>
      <c r="AG101" s="10">
        <v>5434.6991599999992</v>
      </c>
      <c r="AH101" s="12">
        <v>7.332954194285154E-3</v>
      </c>
      <c r="AI101" s="10">
        <v>9782.608695652174</v>
      </c>
      <c r="AJ101" s="10">
        <v>3921.4096113045443</v>
      </c>
      <c r="AK101" s="5" t="s">
        <v>29</v>
      </c>
      <c r="AL101" s="5" t="s">
        <v>29</v>
      </c>
      <c r="AM101" s="4" t="s">
        <v>133</v>
      </c>
    </row>
    <row r="102" spans="1:39" x14ac:dyDescent="0.35">
      <c r="A102" s="5" t="s">
        <v>108</v>
      </c>
      <c r="B102" s="9" t="str">
        <f>VLOOKUP(D102,Auxiliar!A:C,2,0)</f>
        <v>MG EPA</v>
      </c>
      <c r="C102" s="5" t="str">
        <f>VLOOKUP(D102,Auxiliar!A:C,3,0)</f>
        <v>Luiz</v>
      </c>
      <c r="D102" s="9" t="s">
        <v>40</v>
      </c>
      <c r="E102" s="16">
        <v>0.5159461248822429</v>
      </c>
      <c r="F102" s="24">
        <v>137.14679999999998</v>
      </c>
      <c r="G102" s="53">
        <v>45.693930000000002</v>
      </c>
      <c r="H102" s="10">
        <v>91.45286999999999</v>
      </c>
      <c r="I102" s="10">
        <v>107.75760067348811</v>
      </c>
      <c r="J102" s="10">
        <v>70.760359999999977</v>
      </c>
      <c r="K102" s="10">
        <v>19.021739130434785</v>
      </c>
      <c r="L102" s="10">
        <v>6.3180235430533518</v>
      </c>
      <c r="M102" s="10">
        <v>11.657477999999999</v>
      </c>
      <c r="N102" s="11">
        <v>0.03</v>
      </c>
      <c r="O102" s="12">
        <v>0.02</v>
      </c>
      <c r="P102" s="11">
        <v>3.5000000000000003E-2</v>
      </c>
      <c r="Q102" s="35">
        <v>-16.304730673488123</v>
      </c>
      <c r="R102" s="12">
        <v>-0.17828560955482453</v>
      </c>
      <c r="S102" s="10">
        <v>23.575606114140466</v>
      </c>
      <c r="T102" s="10">
        <v>0.33317532745933559</v>
      </c>
      <c r="U102" s="22">
        <v>1</v>
      </c>
      <c r="V102" s="10">
        <v>35</v>
      </c>
      <c r="W102" s="10">
        <v>4.1144039999999995</v>
      </c>
      <c r="X102" s="40">
        <v>178.00526972085348</v>
      </c>
      <c r="Y102" s="39">
        <v>5.0858648491672422</v>
      </c>
      <c r="Z102" s="15">
        <v>0.60094612488224286</v>
      </c>
      <c r="AA102" s="10">
        <v>25.339762673488138</v>
      </c>
      <c r="AB102" s="10">
        <v>3099.8139599999995</v>
      </c>
      <c r="AC102" s="43">
        <v>4.4243558410195692E-2</v>
      </c>
      <c r="AD102" s="43">
        <v>2.5235398678443134E-2</v>
      </c>
      <c r="AE102" s="44">
        <v>1106.0889602548923</v>
      </c>
      <c r="AF102" s="10">
        <v>5211.9345827984598</v>
      </c>
      <c r="AG102" s="10">
        <v>5434.6991599999992</v>
      </c>
      <c r="AH102" s="12">
        <v>2.5235398678443134E-2</v>
      </c>
      <c r="AI102" s="10">
        <v>19021.739130434784</v>
      </c>
      <c r="AJ102" s="10">
        <v>6318.0235430533521</v>
      </c>
      <c r="AK102" s="5" t="s">
        <v>29</v>
      </c>
      <c r="AL102" s="5" t="s">
        <v>29</v>
      </c>
      <c r="AM102" s="4" t="s">
        <v>133</v>
      </c>
    </row>
    <row r="103" spans="1:39" x14ac:dyDescent="0.35">
      <c r="A103" s="5" t="s">
        <v>108</v>
      </c>
      <c r="B103" s="9" t="str">
        <f>VLOOKUP(D103,Auxiliar!A:C,2,0)</f>
        <v>SP FORT</v>
      </c>
      <c r="C103" s="5" t="str">
        <f>VLOOKUP(D103,Auxiliar!A:C,3,0)</f>
        <v>Julliano</v>
      </c>
      <c r="D103" s="9" t="s">
        <v>50</v>
      </c>
      <c r="E103" s="16">
        <v>0.49818458004520028</v>
      </c>
      <c r="F103" s="24">
        <v>10.7964</v>
      </c>
      <c r="G103" s="53">
        <v>7.2820900000000002</v>
      </c>
      <c r="H103" s="10">
        <v>3.51431</v>
      </c>
      <c r="I103" s="10">
        <v>9.9545219289990658</v>
      </c>
      <c r="J103" s="10">
        <v>5.3786000000000005</v>
      </c>
      <c r="K103" s="10">
        <v>1.6304347826086958</v>
      </c>
      <c r="L103" s="10">
        <v>1.3800091463903696</v>
      </c>
      <c r="M103" s="10">
        <v>1.5654780000000001</v>
      </c>
      <c r="N103" s="11">
        <v>0.09</v>
      </c>
      <c r="O103" s="12">
        <v>0.02</v>
      </c>
      <c r="P103" s="11">
        <v>3.5000000000000003E-2</v>
      </c>
      <c r="Q103" s="35">
        <v>-6.4402119289990658</v>
      </c>
      <c r="R103" s="12">
        <v>-1.8325679661154155</v>
      </c>
      <c r="S103" s="10">
        <v>3.6278249485013525</v>
      </c>
      <c r="T103" s="10">
        <v>0.67449242340039273</v>
      </c>
      <c r="U103" s="22">
        <v>1</v>
      </c>
      <c r="V103" s="10">
        <v>3</v>
      </c>
      <c r="W103" s="10">
        <v>0.97167599999999998</v>
      </c>
      <c r="X103" s="40">
        <v>28.845541289395207</v>
      </c>
      <c r="Y103" s="39">
        <v>9.6151804297984018</v>
      </c>
      <c r="Z103" s="15">
        <v>0.64318458004520029</v>
      </c>
      <c r="AA103" s="10">
        <v>3.0104439289990657</v>
      </c>
      <c r="AB103" s="10">
        <v>411.44099999999986</v>
      </c>
      <c r="AC103" s="43">
        <v>2.6240457319518483E-2</v>
      </c>
      <c r="AD103" s="43">
        <v>1.9865681028791299E-3</v>
      </c>
      <c r="AE103" s="44">
        <v>524.80914639036962</v>
      </c>
      <c r="AF103" s="10">
        <v>855.2</v>
      </c>
      <c r="AG103" s="10">
        <v>5434.6991599999992</v>
      </c>
      <c r="AH103" s="12">
        <v>1.9865681028791299E-3</v>
      </c>
      <c r="AI103" s="10">
        <v>1630.4347826086957</v>
      </c>
      <c r="AJ103" s="10">
        <v>1380.0091463903696</v>
      </c>
      <c r="AK103" s="5" t="s">
        <v>113</v>
      </c>
      <c r="AL103" s="5" t="s">
        <v>130</v>
      </c>
      <c r="AM103" s="4" t="s">
        <v>133</v>
      </c>
    </row>
    <row r="104" spans="1:39" x14ac:dyDescent="0.35">
      <c r="A104" s="5" t="s">
        <v>108</v>
      </c>
      <c r="B104" s="9" t="str">
        <f>VLOOKUP(D104,Auxiliar!A:C,2,0)</f>
        <v>BA HIPERIDEAL</v>
      </c>
      <c r="C104" s="5" t="str">
        <f>VLOOKUP(D104,Auxiliar!A:C,3,0)</f>
        <v>Luiz</v>
      </c>
      <c r="D104" s="9" t="s">
        <v>5</v>
      </c>
      <c r="E104" s="16">
        <v>0.52989062405580156</v>
      </c>
      <c r="F104" s="24">
        <v>69.503399999999999</v>
      </c>
      <c r="G104" s="53">
        <v>0</v>
      </c>
      <c r="H104" s="10">
        <v>69.503399999999999</v>
      </c>
      <c r="I104" s="10">
        <v>65.818036712859936</v>
      </c>
      <c r="J104" s="10">
        <v>36.8292</v>
      </c>
      <c r="K104" s="10">
        <v>14.130434782608695</v>
      </c>
      <c r="L104" s="10">
        <v>7.5605449302512335</v>
      </c>
      <c r="M104" s="10">
        <v>7.2978570000000005</v>
      </c>
      <c r="N104" s="11">
        <v>0.05</v>
      </c>
      <c r="O104" s="12">
        <v>0.02</v>
      </c>
      <c r="P104" s="11">
        <v>3.5000000000000003E-2</v>
      </c>
      <c r="Q104" s="35">
        <v>3.6853632871400634</v>
      </c>
      <c r="R104" s="12">
        <v>5.3024215896489431E-2</v>
      </c>
      <c r="S104" s="10">
        <v>0</v>
      </c>
      <c r="T104" s="10">
        <v>0</v>
      </c>
      <c r="U104" s="22">
        <v>1</v>
      </c>
      <c r="V104" s="10">
        <v>26</v>
      </c>
      <c r="W104" s="10">
        <v>3.4751700000000003</v>
      </c>
      <c r="X104" s="40">
        <v>59.409539009414736</v>
      </c>
      <c r="Y104" s="39">
        <v>2.2849822695928745</v>
      </c>
      <c r="Z104" s="15">
        <v>0.63489062405580154</v>
      </c>
      <c r="AA104" s="10">
        <v>21.690979712859928</v>
      </c>
      <c r="AB104" s="10">
        <v>3099.8139599999995</v>
      </c>
      <c r="AC104" s="43">
        <v>2.2421797210049346E-2</v>
      </c>
      <c r="AD104" s="43">
        <v>1.2788821966734219E-2</v>
      </c>
      <c r="AE104" s="44">
        <v>560.54493025123361</v>
      </c>
      <c r="AF104" s="10">
        <v>7000</v>
      </c>
      <c r="AG104" s="10">
        <v>5434.6991599999992</v>
      </c>
      <c r="AH104" s="12">
        <v>1.2788821966734219E-2</v>
      </c>
      <c r="AI104" s="10">
        <v>14130.434782608696</v>
      </c>
      <c r="AJ104" s="10">
        <v>7560.5449302512334</v>
      </c>
      <c r="AK104" s="5" t="s">
        <v>29</v>
      </c>
      <c r="AL104" s="5" t="s">
        <v>29</v>
      </c>
      <c r="AM104" s="4" t="s">
        <v>133</v>
      </c>
    </row>
    <row r="105" spans="1:39" x14ac:dyDescent="0.35">
      <c r="A105" s="5" t="s">
        <v>108</v>
      </c>
      <c r="B105" s="9" t="str">
        <f>VLOOKUP(D105,Auxiliar!A:C,2,0)</f>
        <v>SP MAMBO</v>
      </c>
      <c r="C105" s="5" t="str">
        <f>VLOOKUP(D105,Auxiliar!A:C,3,0)</f>
        <v>Julliano</v>
      </c>
      <c r="D105" s="9" t="s">
        <v>51</v>
      </c>
      <c r="E105" s="16">
        <v>0.45817321339812567</v>
      </c>
      <c r="F105" s="24">
        <v>29.938039999999916</v>
      </c>
      <c r="G105" s="53">
        <v>19.656350000000003</v>
      </c>
      <c r="H105" s="10">
        <v>10.281689999999912</v>
      </c>
      <c r="I105" s="10">
        <v>35.444655530068317</v>
      </c>
      <c r="J105" s="10">
        <v>13.716807989641584</v>
      </c>
      <c r="K105" s="10">
        <v>8.1521739130434785</v>
      </c>
      <c r="L105" s="10">
        <v>8.9352774273832658</v>
      </c>
      <c r="M105" s="10">
        <v>4.6403961999999881</v>
      </c>
      <c r="N105" s="11">
        <v>0.1</v>
      </c>
      <c r="O105" s="12">
        <v>0.02</v>
      </c>
      <c r="P105" s="11">
        <v>3.5000000000000003E-2</v>
      </c>
      <c r="Q105" s="35">
        <v>-25.162965530068405</v>
      </c>
      <c r="R105" s="12">
        <v>-2.4473569549430705</v>
      </c>
      <c r="S105" s="10">
        <v>9.0060130431782497</v>
      </c>
      <c r="T105" s="10">
        <v>0.65656769781856328</v>
      </c>
      <c r="U105" s="22">
        <v>1</v>
      </c>
      <c r="V105" s="10">
        <v>15</v>
      </c>
      <c r="W105" s="10">
        <v>2.9938039999999919</v>
      </c>
      <c r="X105" s="40">
        <v>94.987737698330108</v>
      </c>
      <c r="Y105" s="39">
        <v>6.3325158465553404</v>
      </c>
      <c r="Z105" s="15">
        <v>0.61317321339812569</v>
      </c>
      <c r="AA105" s="10">
        <v>17.087451340426746</v>
      </c>
      <c r="AB105" s="10">
        <v>411.44099999999986</v>
      </c>
      <c r="AC105" s="43">
        <v>7.2763871369163319E-2</v>
      </c>
      <c r="AD105" s="43">
        <v>5.5086839434181157E-3</v>
      </c>
      <c r="AE105" s="44">
        <v>1455.2774273832663</v>
      </c>
      <c r="AF105" s="10">
        <v>7480</v>
      </c>
      <c r="AG105" s="10">
        <v>5434.6991599999992</v>
      </c>
      <c r="AH105" s="12">
        <v>5.5086839434181157E-3</v>
      </c>
      <c r="AI105" s="10">
        <v>8152.1739130434789</v>
      </c>
      <c r="AJ105" s="10">
        <v>8935.2774273832656</v>
      </c>
      <c r="AK105" s="5" t="s">
        <v>113</v>
      </c>
      <c r="AL105" s="5" t="s">
        <v>130</v>
      </c>
      <c r="AM105" s="4" t="s">
        <v>133</v>
      </c>
    </row>
    <row r="106" spans="1:39" x14ac:dyDescent="0.35">
      <c r="A106" s="5" t="s">
        <v>108</v>
      </c>
      <c r="B106" s="9" t="str">
        <f>VLOOKUP(D106,Auxiliar!A:C,2,0)</f>
        <v>PE MATEUS</v>
      </c>
      <c r="C106" s="5" t="str">
        <f>VLOOKUP(D106,Auxiliar!A:C,3,0)</f>
        <v>Luiz</v>
      </c>
      <c r="D106" s="9" t="s">
        <v>36</v>
      </c>
      <c r="E106" s="16">
        <v>0.48349801156164141</v>
      </c>
      <c r="F106" s="24">
        <v>43.903799999999997</v>
      </c>
      <c r="G106" s="53">
        <v>0</v>
      </c>
      <c r="H106" s="10">
        <v>43.903799999999997</v>
      </c>
      <c r="I106" s="10">
        <v>27.393741935452489</v>
      </c>
      <c r="J106" s="10">
        <v>21.227399999999989</v>
      </c>
      <c r="K106" s="10">
        <v>1.6304347826086958</v>
      </c>
      <c r="L106" s="10">
        <v>0.80408415284380486</v>
      </c>
      <c r="M106" s="10">
        <v>3.7318229999999999</v>
      </c>
      <c r="N106" s="11">
        <v>0.03</v>
      </c>
      <c r="O106" s="12">
        <v>0.02</v>
      </c>
      <c r="P106" s="11">
        <v>3.5000000000000003E-2</v>
      </c>
      <c r="Q106" s="35">
        <v>16.510058064547508</v>
      </c>
      <c r="R106" s="12">
        <v>0.37605077611841137</v>
      </c>
      <c r="S106" s="10">
        <v>0</v>
      </c>
      <c r="T106" s="10">
        <v>0</v>
      </c>
      <c r="U106" s="22">
        <v>1</v>
      </c>
      <c r="V106" s="10">
        <v>3</v>
      </c>
      <c r="W106" s="10">
        <v>1.3171139999999999</v>
      </c>
      <c r="X106" s="40">
        <v>5.6419645811209955</v>
      </c>
      <c r="Y106" s="39">
        <v>1.8806548603736652</v>
      </c>
      <c r="Z106" s="15">
        <v>0.56849801156164137</v>
      </c>
      <c r="AA106" s="10">
        <v>2.4345189354525005</v>
      </c>
      <c r="AB106" s="10">
        <v>3099.8139599999995</v>
      </c>
      <c r="AC106" s="43">
        <v>1.4163366113752195E-2</v>
      </c>
      <c r="AD106" s="43">
        <v>8.078423240634354E-3</v>
      </c>
      <c r="AE106" s="44">
        <v>354.08415284380487</v>
      </c>
      <c r="AF106" s="10">
        <v>450</v>
      </c>
      <c r="AG106" s="10">
        <v>5434.6991599999992</v>
      </c>
      <c r="AH106" s="12">
        <v>8.078423240634354E-3</v>
      </c>
      <c r="AI106" s="10">
        <v>1630.4347826086957</v>
      </c>
      <c r="AJ106" s="10">
        <v>804.08415284380487</v>
      </c>
      <c r="AK106" s="5" t="s">
        <v>29</v>
      </c>
      <c r="AL106" s="5" t="s">
        <v>29</v>
      </c>
      <c r="AM106" s="4" t="s">
        <v>133</v>
      </c>
    </row>
    <row r="107" spans="1:39" x14ac:dyDescent="0.35">
      <c r="A107" s="5" t="s">
        <v>108</v>
      </c>
      <c r="B107" s="9" t="str">
        <f>VLOOKUP(D107,Auxiliar!A:C,2,0)</f>
        <v>PE MATEUS</v>
      </c>
      <c r="C107" s="5" t="str">
        <f>VLOOKUP(D107,Auxiliar!A:C,3,0)</f>
        <v>Luiz</v>
      </c>
      <c r="D107" s="9" t="s">
        <v>43</v>
      </c>
      <c r="E107" s="16">
        <v>0</v>
      </c>
      <c r="F107" s="24">
        <v>0</v>
      </c>
      <c r="G107" s="53">
        <v>0</v>
      </c>
      <c r="H107" s="10">
        <v>0</v>
      </c>
      <c r="I107" s="10">
        <v>0.69347826086956532</v>
      </c>
      <c r="J107" s="10">
        <v>0</v>
      </c>
      <c r="K107" s="10">
        <v>0.5434782608695653</v>
      </c>
      <c r="L107" s="10">
        <v>0.15</v>
      </c>
      <c r="M107" s="10">
        <v>0</v>
      </c>
      <c r="N107" s="11">
        <v>0.03</v>
      </c>
      <c r="O107" s="12">
        <v>0.02</v>
      </c>
      <c r="P107" s="11">
        <v>3.5000000000000003E-2</v>
      </c>
      <c r="Q107" s="35">
        <v>-0.69347826086956532</v>
      </c>
      <c r="R107" s="12">
        <v>0</v>
      </c>
      <c r="S107" s="10">
        <v>0</v>
      </c>
      <c r="T107" s="10">
        <v>0</v>
      </c>
      <c r="U107" s="22">
        <v>1</v>
      </c>
      <c r="V107" s="10">
        <v>1</v>
      </c>
      <c r="W107" s="10">
        <v>0</v>
      </c>
      <c r="X107" s="40">
        <v>0.75789973865526261</v>
      </c>
      <c r="Y107" s="39">
        <v>0.75789973865526261</v>
      </c>
      <c r="Z107" s="15">
        <v>8.5000000000000006E-2</v>
      </c>
      <c r="AA107" s="10">
        <v>0.69347826086956532</v>
      </c>
      <c r="AB107" s="10">
        <v>3099.8139599999995</v>
      </c>
      <c r="AC107" s="43">
        <v>0</v>
      </c>
      <c r="AD107" s="43">
        <v>0</v>
      </c>
      <c r="AE107" s="44">
        <v>0</v>
      </c>
      <c r="AF107" s="10">
        <v>150</v>
      </c>
      <c r="AG107" s="10">
        <v>5434.6991599999992</v>
      </c>
      <c r="AH107" s="12">
        <v>0</v>
      </c>
      <c r="AI107" s="10">
        <v>543.47826086956525</v>
      </c>
      <c r="AJ107" s="10">
        <v>150</v>
      </c>
      <c r="AK107" s="5" t="s">
        <v>29</v>
      </c>
      <c r="AL107" s="5" t="s">
        <v>29</v>
      </c>
      <c r="AM107" s="4" t="s">
        <v>133</v>
      </c>
    </row>
    <row r="108" spans="1:39" x14ac:dyDescent="0.35">
      <c r="A108" s="5" t="s">
        <v>108</v>
      </c>
      <c r="B108" s="9" t="str">
        <f>VLOOKUP(D108,Auxiliar!A:C,2,0)</f>
        <v>PE MATEUS</v>
      </c>
      <c r="C108" s="5" t="str">
        <f>VLOOKUP(D108,Auxiliar!A:C,3,0)</f>
        <v>Luiz</v>
      </c>
      <c r="D108" s="9" t="s">
        <v>44</v>
      </c>
      <c r="E108" s="16">
        <v>0.45844564201905763</v>
      </c>
      <c r="F108" s="24">
        <v>69.317880000000002</v>
      </c>
      <c r="G108" s="53">
        <v>0</v>
      </c>
      <c r="H108" s="10">
        <v>69.317880000000002</v>
      </c>
      <c r="I108" s="10">
        <v>41.003461554904796</v>
      </c>
      <c r="J108" s="10">
        <v>31.778479999999995</v>
      </c>
      <c r="K108" s="10">
        <v>2.1739130434782612</v>
      </c>
      <c r="L108" s="10">
        <v>1.1590487114265402</v>
      </c>
      <c r="M108" s="10">
        <v>5.8920198000000008</v>
      </c>
      <c r="N108" s="11">
        <v>0.03</v>
      </c>
      <c r="O108" s="12">
        <v>0.02</v>
      </c>
      <c r="P108" s="11">
        <v>3.5000000000000003E-2</v>
      </c>
      <c r="Q108" s="35">
        <v>28.314418445095207</v>
      </c>
      <c r="R108" s="12">
        <v>0.40847207740766461</v>
      </c>
      <c r="S108" s="10">
        <v>0</v>
      </c>
      <c r="T108" s="10">
        <v>0</v>
      </c>
      <c r="U108" s="22">
        <v>1</v>
      </c>
      <c r="V108" s="10">
        <v>4</v>
      </c>
      <c r="W108" s="10">
        <v>2.0795363999999998</v>
      </c>
      <c r="X108" s="40">
        <v>7.3002517589459242</v>
      </c>
      <c r="Y108" s="39">
        <v>1.825062939736481</v>
      </c>
      <c r="Z108" s="15">
        <v>0.54344564201905765</v>
      </c>
      <c r="AA108" s="10">
        <v>3.3329617549048014</v>
      </c>
      <c r="AB108" s="10">
        <v>3099.8139599999995</v>
      </c>
      <c r="AC108" s="43">
        <v>2.2361948457061603E-2</v>
      </c>
      <c r="AD108" s="43">
        <v>1.2754685762587824E-2</v>
      </c>
      <c r="AE108" s="44">
        <v>559.04871142654008</v>
      </c>
      <c r="AF108" s="10">
        <v>600</v>
      </c>
      <c r="AG108" s="10">
        <v>5434.6991599999992</v>
      </c>
      <c r="AH108" s="12">
        <v>1.2754685762587824E-2</v>
      </c>
      <c r="AI108" s="10">
        <v>2173.913043478261</v>
      </c>
      <c r="AJ108" s="10">
        <v>1159.0487114265402</v>
      </c>
      <c r="AK108" s="5" t="s">
        <v>29</v>
      </c>
      <c r="AL108" s="5" t="s">
        <v>29</v>
      </c>
      <c r="AM108" s="4" t="s">
        <v>133</v>
      </c>
    </row>
    <row r="109" spans="1:39" x14ac:dyDescent="0.35">
      <c r="A109" s="5" t="s">
        <v>108</v>
      </c>
      <c r="B109" s="9" t="str">
        <f>VLOOKUP(D109,Auxiliar!A:C,2,0)</f>
        <v>CE MERCADINHO SÃO LUIZ</v>
      </c>
      <c r="C109" s="5" t="str">
        <f>VLOOKUP(D109,Auxiliar!A:C,3,0)</f>
        <v>Luiz</v>
      </c>
      <c r="D109" s="9" t="s">
        <v>6</v>
      </c>
      <c r="E109" s="16">
        <v>0.4718172724241414</v>
      </c>
      <c r="F109" s="24">
        <v>599.79999999999995</v>
      </c>
      <c r="G109" s="53">
        <v>0</v>
      </c>
      <c r="H109" s="10">
        <v>599.79999999999995</v>
      </c>
      <c r="I109" s="10">
        <v>369.22543055809706</v>
      </c>
      <c r="J109" s="10">
        <v>282.99599999999998</v>
      </c>
      <c r="K109" s="10">
        <v>11.413043478260869</v>
      </c>
      <c r="L109" s="10">
        <v>11.837387079836237</v>
      </c>
      <c r="M109" s="10">
        <v>62.978999999999999</v>
      </c>
      <c r="N109" s="11">
        <v>0.05</v>
      </c>
      <c r="O109" s="12">
        <v>0.02</v>
      </c>
      <c r="P109" s="11">
        <v>3.5000000000000003E-2</v>
      </c>
      <c r="Q109" s="35">
        <v>230.5745694419029</v>
      </c>
      <c r="R109" s="12">
        <v>0.38441908876609354</v>
      </c>
      <c r="S109" s="10">
        <v>0</v>
      </c>
      <c r="T109" s="10">
        <v>0</v>
      </c>
      <c r="U109" s="22">
        <v>1</v>
      </c>
      <c r="V109" s="10">
        <v>21</v>
      </c>
      <c r="W109" s="10">
        <v>29.99</v>
      </c>
      <c r="X109" s="40">
        <v>54.941823101533124</v>
      </c>
      <c r="Y109" s="39">
        <v>2.6162772905491964</v>
      </c>
      <c r="Z109" s="15">
        <v>0.57681727242414138</v>
      </c>
      <c r="AA109" s="10">
        <v>23.250430558097108</v>
      </c>
      <c r="AB109" s="10">
        <v>3099.8139599999995</v>
      </c>
      <c r="AC109" s="43">
        <v>0.19349548319344947</v>
      </c>
      <c r="AD109" s="43">
        <v>0.11036489460439611</v>
      </c>
      <c r="AE109" s="44">
        <v>4837.3870798362368</v>
      </c>
      <c r="AF109" s="10">
        <v>7000</v>
      </c>
      <c r="AG109" s="10">
        <v>5434.6991599999992</v>
      </c>
      <c r="AH109" s="12">
        <v>0.11036489460439611</v>
      </c>
      <c r="AI109" s="10">
        <v>11413.04347826087</v>
      </c>
      <c r="AJ109" s="10">
        <v>11837.387079836237</v>
      </c>
      <c r="AK109" s="5" t="s">
        <v>29</v>
      </c>
      <c r="AL109" s="5" t="s">
        <v>29</v>
      </c>
      <c r="AM109" s="4" t="s">
        <v>133</v>
      </c>
    </row>
    <row r="110" spans="1:39" x14ac:dyDescent="0.35">
      <c r="A110" s="5" t="s">
        <v>108</v>
      </c>
      <c r="B110" s="9" t="str">
        <f>VLOOKUP(D110,Auxiliar!A:C,2,0)</f>
        <v>REDE OBA</v>
      </c>
      <c r="C110" s="5" t="str">
        <f>VLOOKUP(D110,Auxiliar!A:C,3,0)</f>
        <v>Julliano</v>
      </c>
      <c r="D110" s="9" t="s">
        <v>32</v>
      </c>
      <c r="E110" s="16">
        <v>0.57168942073142182</v>
      </c>
      <c r="F110" s="24">
        <v>96.706439999999915</v>
      </c>
      <c r="G110" s="53">
        <v>1.4073600000000002</v>
      </c>
      <c r="H110" s="10">
        <v>95.299079999999918</v>
      </c>
      <c r="I110" s="10">
        <v>77.098380611460044</v>
      </c>
      <c r="J110" s="10">
        <v>55.286048664597949</v>
      </c>
      <c r="K110" s="10">
        <v>7.608695652173914</v>
      </c>
      <c r="L110" s="10">
        <v>7.4341854946881796</v>
      </c>
      <c r="M110" s="10">
        <v>6.7694507999999951</v>
      </c>
      <c r="N110" s="11">
        <v>1.4999999999999999E-2</v>
      </c>
      <c r="O110" s="12">
        <v>0.02</v>
      </c>
      <c r="P110" s="11">
        <v>3.5000000000000003E-2</v>
      </c>
      <c r="Q110" s="35">
        <v>18.200699388539874</v>
      </c>
      <c r="R110" s="12">
        <v>0.19098504821389556</v>
      </c>
      <c r="S110" s="10">
        <v>0.80457282316057388</v>
      </c>
      <c r="T110" s="10">
        <v>1.4552908782496815E-2</v>
      </c>
      <c r="U110" s="22">
        <v>1</v>
      </c>
      <c r="V110" s="10">
        <v>14</v>
      </c>
      <c r="W110" s="10">
        <v>1.4505965999999986</v>
      </c>
      <c r="X110" s="40">
        <v>45.910565019994905</v>
      </c>
      <c r="Y110" s="39">
        <v>3.279326072856779</v>
      </c>
      <c r="Z110" s="15">
        <v>0.64168942073142188</v>
      </c>
      <c r="AA110" s="10">
        <v>15.042881146862094</v>
      </c>
      <c r="AB110" s="10">
        <v>411.44099999999986</v>
      </c>
      <c r="AC110" s="43">
        <v>0.23504327473440895</v>
      </c>
      <c r="AD110" s="43">
        <v>1.7794258183004914E-2</v>
      </c>
      <c r="AE110" s="44">
        <v>4700.8654946881788</v>
      </c>
      <c r="AF110" s="10">
        <v>2733.32</v>
      </c>
      <c r="AG110" s="10">
        <v>5434.6991599999992</v>
      </c>
      <c r="AH110" s="12">
        <v>1.7794258183004914E-2</v>
      </c>
      <c r="AI110" s="10">
        <v>7608.6956521739139</v>
      </c>
      <c r="AJ110" s="10">
        <v>7434.1854946881795</v>
      </c>
      <c r="AK110" s="5" t="s">
        <v>113</v>
      </c>
      <c r="AL110" s="5" t="s">
        <v>113</v>
      </c>
      <c r="AM110" s="4" t="s">
        <v>133</v>
      </c>
    </row>
    <row r="111" spans="1:39" x14ac:dyDescent="0.35">
      <c r="A111" s="5" t="s">
        <v>108</v>
      </c>
      <c r="B111" s="9" t="str">
        <f>VLOOKUP(D111,Auxiliar!A:C,2,0)</f>
        <v>REDE OBA</v>
      </c>
      <c r="C111" s="5" t="str">
        <f>VLOOKUP(D111,Auxiliar!A:C,3,0)</f>
        <v>Julliano</v>
      </c>
      <c r="D111" s="9" t="s">
        <v>52</v>
      </c>
      <c r="E111" s="16">
        <v>0.5765035813732462</v>
      </c>
      <c r="F111" s="24">
        <v>217.00056000000006</v>
      </c>
      <c r="G111" s="53">
        <v>0</v>
      </c>
      <c r="H111" s="10">
        <v>217.00056000000006</v>
      </c>
      <c r="I111" s="10">
        <v>186.81710671226313</v>
      </c>
      <c r="J111" s="10">
        <v>125.10160000000003</v>
      </c>
      <c r="K111" s="10">
        <v>28.804347826086961</v>
      </c>
      <c r="L111" s="10">
        <v>17.721119686176152</v>
      </c>
      <c r="M111" s="10">
        <v>15.190039200000006</v>
      </c>
      <c r="N111" s="11">
        <v>1.4999999999999999E-2</v>
      </c>
      <c r="O111" s="12">
        <v>0.02</v>
      </c>
      <c r="P111" s="11">
        <v>3.5000000000000003E-2</v>
      </c>
      <c r="Q111" s="35">
        <v>30.183453287736938</v>
      </c>
      <c r="R111" s="12">
        <v>0.13909389583020859</v>
      </c>
      <c r="S111" s="10">
        <v>0</v>
      </c>
      <c r="T111" s="10">
        <v>0</v>
      </c>
      <c r="U111" s="22">
        <v>1</v>
      </c>
      <c r="V111" s="10">
        <v>53</v>
      </c>
      <c r="W111" s="10">
        <v>3.2550084000000008</v>
      </c>
      <c r="X111" s="40">
        <v>131.61510289977778</v>
      </c>
      <c r="Y111" s="39">
        <v>2.4833038282976938</v>
      </c>
      <c r="Z111" s="15">
        <v>0.64650358137324626</v>
      </c>
      <c r="AA111" s="10">
        <v>46.525467512263113</v>
      </c>
      <c r="AB111" s="10">
        <v>411.44099999999986</v>
      </c>
      <c r="AC111" s="43">
        <v>0.52741598430880765</v>
      </c>
      <c r="AD111" s="43">
        <v>3.9928716127867525E-2</v>
      </c>
      <c r="AE111" s="44">
        <v>10548.319686176153</v>
      </c>
      <c r="AF111" s="10">
        <v>7172.7999999999984</v>
      </c>
      <c r="AG111" s="10">
        <v>5434.6991599999992</v>
      </c>
      <c r="AH111" s="12">
        <v>3.9928716127867525E-2</v>
      </c>
      <c r="AI111" s="10">
        <v>28804.34782608696</v>
      </c>
      <c r="AJ111" s="10">
        <v>17721.119686176153</v>
      </c>
      <c r="AK111" s="5" t="s">
        <v>113</v>
      </c>
      <c r="AL111" s="5" t="s">
        <v>130</v>
      </c>
      <c r="AM111" s="4" t="s">
        <v>133</v>
      </c>
    </row>
    <row r="112" spans="1:39" x14ac:dyDescent="0.35">
      <c r="A112" s="5" t="s">
        <v>108</v>
      </c>
      <c r="B112" s="9" t="str">
        <f>VLOOKUP(D112,Auxiliar!A:C,2,0)</f>
        <v>DF SUPER ADEGA</v>
      </c>
      <c r="C112" s="5" t="str">
        <f>VLOOKUP(D112,Auxiliar!A:C,3,0)</f>
        <v>Luiz</v>
      </c>
      <c r="D112" s="9" t="s">
        <v>34</v>
      </c>
      <c r="E112" s="16">
        <v>0.48242317934176043</v>
      </c>
      <c r="F112" s="24">
        <v>214.12859999999978</v>
      </c>
      <c r="G112" s="53">
        <v>15</v>
      </c>
      <c r="H112" s="10">
        <v>199.12859999999978</v>
      </c>
      <c r="I112" s="10">
        <v>126.52201149184933</v>
      </c>
      <c r="J112" s="10">
        <v>103.30059999999997</v>
      </c>
      <c r="K112" s="10">
        <v>2.7173913043478262</v>
      </c>
      <c r="L112" s="10">
        <v>8.7269471875015352</v>
      </c>
      <c r="M112" s="10">
        <v>11.777072999999989</v>
      </c>
      <c r="N112" s="11">
        <v>0</v>
      </c>
      <c r="O112" s="12">
        <v>0.02</v>
      </c>
      <c r="P112" s="11">
        <v>3.5000000000000003E-2</v>
      </c>
      <c r="Q112" s="35">
        <v>72.606588508150452</v>
      </c>
      <c r="R112" s="12">
        <v>0.36462159884692874</v>
      </c>
      <c r="S112" s="10">
        <v>7.2363476901264061</v>
      </c>
      <c r="T112" s="10">
        <v>7.0051361658367992E-2</v>
      </c>
      <c r="U112" s="22">
        <v>1</v>
      </c>
      <c r="V112" s="10">
        <v>5</v>
      </c>
      <c r="W112" s="10">
        <v>0</v>
      </c>
      <c r="X112" s="40">
        <v>57.16745264974471</v>
      </c>
      <c r="Y112" s="39">
        <v>11.433490529948942</v>
      </c>
      <c r="Z112" s="15">
        <v>0.53742317934176043</v>
      </c>
      <c r="AA112" s="10">
        <v>11.444338491849361</v>
      </c>
      <c r="AB112" s="10">
        <v>3099.8139599999995</v>
      </c>
      <c r="AC112" s="43">
        <v>6.90778875000614E-2</v>
      </c>
      <c r="AD112" s="43">
        <v>3.9400267373769372E-2</v>
      </c>
      <c r="AE112" s="44">
        <v>1726.9471875015349</v>
      </c>
      <c r="AF112" s="10">
        <v>7000</v>
      </c>
      <c r="AG112" s="10">
        <v>5434.6991599999992</v>
      </c>
      <c r="AH112" s="12">
        <v>3.9400267373769372E-2</v>
      </c>
      <c r="AI112" s="10">
        <v>2717.391304347826</v>
      </c>
      <c r="AJ112" s="10">
        <v>8726.9471875015352</v>
      </c>
      <c r="AK112" s="5" t="s">
        <v>29</v>
      </c>
      <c r="AL112" s="5" t="s">
        <v>29</v>
      </c>
      <c r="AM112" s="4" t="s">
        <v>133</v>
      </c>
    </row>
    <row r="113" spans="1:39" x14ac:dyDescent="0.35">
      <c r="A113" s="5" t="s">
        <v>108</v>
      </c>
      <c r="B113" s="9" t="str">
        <f>VLOOKUP(D113,Auxiliar!A:C,2,0)</f>
        <v>MG SUPERNOSSO</v>
      </c>
      <c r="C113" s="5" t="str">
        <f>VLOOKUP(D113,Auxiliar!A:C,3,0)</f>
        <v>Luiz</v>
      </c>
      <c r="D113" s="9" t="s">
        <v>41</v>
      </c>
      <c r="E113" s="16">
        <v>0.48052256442074381</v>
      </c>
      <c r="F113" s="24">
        <v>358.96512000000013</v>
      </c>
      <c r="G113" s="53">
        <v>65.372489999999999</v>
      </c>
      <c r="H113" s="10">
        <v>293.5926300000001</v>
      </c>
      <c r="I113" s="10">
        <v>229.05602348765828</v>
      </c>
      <c r="J113" s="10">
        <v>172.49084000000011</v>
      </c>
      <c r="K113" s="10">
        <v>17.934782608695652</v>
      </c>
      <c r="L113" s="10">
        <v>8.11836567896251</v>
      </c>
      <c r="M113" s="10">
        <v>30.512035200000014</v>
      </c>
      <c r="N113" s="11">
        <v>0.03</v>
      </c>
      <c r="O113" s="12">
        <v>0.02</v>
      </c>
      <c r="P113" s="11">
        <v>3.5000000000000003E-2</v>
      </c>
      <c r="Q113" s="35">
        <v>64.53660651234182</v>
      </c>
      <c r="R113" s="12">
        <v>0.21981684796495674</v>
      </c>
      <c r="S113" s="10">
        <v>31.412956537369432</v>
      </c>
      <c r="T113" s="10">
        <v>0.18211376637373564</v>
      </c>
      <c r="U113" s="22">
        <v>1</v>
      </c>
      <c r="V113" s="10">
        <v>33</v>
      </c>
      <c r="W113" s="10">
        <v>10.768953600000003</v>
      </c>
      <c r="X113" s="40">
        <v>210.42666615302403</v>
      </c>
      <c r="Y113" s="39">
        <v>6.3765656410007283</v>
      </c>
      <c r="Z113" s="15">
        <v>0.56552256442074378</v>
      </c>
      <c r="AA113" s="10">
        <v>26.053148287658161</v>
      </c>
      <c r="AB113" s="10">
        <v>3099.8139599999995</v>
      </c>
      <c r="AC113" s="43">
        <v>0.11580214962319874</v>
      </c>
      <c r="AD113" s="43">
        <v>6.6050596257843305E-2</v>
      </c>
      <c r="AE113" s="44">
        <v>2895.0537405799682</v>
      </c>
      <c r="AF113" s="10">
        <v>5223.3119383825415</v>
      </c>
      <c r="AG113" s="10">
        <v>5434.6991599999992</v>
      </c>
      <c r="AH113" s="12">
        <v>6.6050596257843305E-2</v>
      </c>
      <c r="AI113" s="10">
        <v>17934.782608695652</v>
      </c>
      <c r="AJ113" s="10">
        <v>8118.3656789625093</v>
      </c>
      <c r="AK113" s="5" t="s">
        <v>29</v>
      </c>
      <c r="AL113" s="5" t="s">
        <v>29</v>
      </c>
      <c r="AM113" s="4" t="s">
        <v>133</v>
      </c>
    </row>
    <row r="114" spans="1:39" x14ac:dyDescent="0.35">
      <c r="A114" s="5" t="s">
        <v>108</v>
      </c>
      <c r="B114" s="9" t="str">
        <f>VLOOKUP(D114,Auxiliar!A:C,2,0)</f>
        <v>MG VERDEMAR</v>
      </c>
      <c r="C114" s="5" t="str">
        <f>VLOOKUP(D114,Auxiliar!A:C,3,0)</f>
        <v>Luiz</v>
      </c>
      <c r="D114" s="9" t="s">
        <v>42</v>
      </c>
      <c r="E114" s="16">
        <v>0.52905348587073431</v>
      </c>
      <c r="F114" s="24">
        <v>204.54000000000013</v>
      </c>
      <c r="G114" s="53">
        <v>64.51391000000001</v>
      </c>
      <c r="H114" s="10">
        <v>140.02609000000012</v>
      </c>
      <c r="I114" s="10">
        <v>141.85681077939924</v>
      </c>
      <c r="J114" s="10">
        <v>108.21260000000007</v>
      </c>
      <c r="K114" s="10">
        <v>7.608695652173914</v>
      </c>
      <c r="L114" s="10">
        <v>8.6496151272252497</v>
      </c>
      <c r="M114" s="10">
        <v>17.385900000000014</v>
      </c>
      <c r="N114" s="11">
        <v>0.03</v>
      </c>
      <c r="O114" s="12">
        <v>0.02</v>
      </c>
      <c r="P114" s="11">
        <v>3.5000000000000003E-2</v>
      </c>
      <c r="Q114" s="35">
        <v>-1.8307207793991154</v>
      </c>
      <c r="R114" s="12">
        <v>-1.307414053623231E-2</v>
      </c>
      <c r="S114" s="10">
        <v>34.131308972650828</v>
      </c>
      <c r="T114" s="10">
        <v>0.31540974870440974</v>
      </c>
      <c r="U114" s="22">
        <v>1</v>
      </c>
      <c r="V114" s="10">
        <v>14</v>
      </c>
      <c r="W114" s="10">
        <v>6.1362000000000041</v>
      </c>
      <c r="X114" s="40">
        <v>209.28345722108529</v>
      </c>
      <c r="Y114" s="39">
        <v>14.948818372934664</v>
      </c>
      <c r="Z114" s="15">
        <v>0.61405348587073427</v>
      </c>
      <c r="AA114" s="10">
        <v>16.258310779399164</v>
      </c>
      <c r="AB114" s="10">
        <v>3099.8139599999995</v>
      </c>
      <c r="AC114" s="43">
        <v>6.5984605089009982E-2</v>
      </c>
      <c r="AD114" s="43">
        <v>3.7635937883266413E-2</v>
      </c>
      <c r="AE114" s="44">
        <v>1649.6151272252496</v>
      </c>
      <c r="AF114" s="10">
        <v>7000</v>
      </c>
      <c r="AG114" s="10">
        <v>5434.6991599999992</v>
      </c>
      <c r="AH114" s="12">
        <v>3.7635937883266413E-2</v>
      </c>
      <c r="AI114" s="10">
        <v>7608.6956521739139</v>
      </c>
      <c r="AJ114" s="10">
        <v>8649.61512722525</v>
      </c>
      <c r="AK114" s="5" t="s">
        <v>29</v>
      </c>
      <c r="AL114" s="5" t="s">
        <v>29</v>
      </c>
      <c r="AM114" s="4" t="s">
        <v>133</v>
      </c>
    </row>
    <row r="115" spans="1:39" x14ac:dyDescent="0.35">
      <c r="A115" s="5" t="s">
        <v>108</v>
      </c>
      <c r="B115" s="9" t="str">
        <f>VLOOKUP(D115,Auxiliar!A:C,2,0)</f>
        <v>SP ZAFFARI</v>
      </c>
      <c r="C115" s="5" t="str">
        <f>VLOOKUP(D115,Auxiliar!A:C,3,0)</f>
        <v>Julliano</v>
      </c>
      <c r="D115" s="9" t="s">
        <v>53</v>
      </c>
      <c r="E115" s="16">
        <v>0.54556480169971666</v>
      </c>
      <c r="F115" s="24">
        <v>11.295999999999998</v>
      </c>
      <c r="G115" s="53">
        <v>0</v>
      </c>
      <c r="H115" s="10">
        <v>11.295999999999998</v>
      </c>
      <c r="I115" s="10">
        <v>10.189631045619832</v>
      </c>
      <c r="J115" s="10">
        <v>6.1626999999999983</v>
      </c>
      <c r="K115" s="10">
        <v>1.0869565217391306</v>
      </c>
      <c r="L115" s="10">
        <v>1.189094523880702</v>
      </c>
      <c r="M115" s="10">
        <v>1.75088</v>
      </c>
      <c r="N115" s="11">
        <v>0.1</v>
      </c>
      <c r="O115" s="12">
        <v>0.02</v>
      </c>
      <c r="P115" s="11">
        <v>3.5000000000000003E-2</v>
      </c>
      <c r="Q115" s="35">
        <v>1.1063689543801658</v>
      </c>
      <c r="R115" s="12">
        <v>9.7943427264533117E-2</v>
      </c>
      <c r="S115" s="10">
        <v>0</v>
      </c>
      <c r="T115" s="10">
        <v>0</v>
      </c>
      <c r="U115" s="22">
        <v>1</v>
      </c>
      <c r="V115" s="10">
        <v>2</v>
      </c>
      <c r="W115" s="10">
        <v>1.1295999999999997</v>
      </c>
      <c r="X115" s="40">
        <v>7.6011472884271107</v>
      </c>
      <c r="Y115" s="39">
        <v>3.8005736442135554</v>
      </c>
      <c r="Z115" s="15">
        <v>0.70056480169971669</v>
      </c>
      <c r="AA115" s="10">
        <v>2.2760510456198326</v>
      </c>
      <c r="AB115" s="10">
        <v>411.44099999999986</v>
      </c>
      <c r="AC115" s="43">
        <v>2.7454726194035113E-2</v>
      </c>
      <c r="AD115" s="43">
        <v>2.0784959143902272E-3</v>
      </c>
      <c r="AE115" s="44">
        <v>549.09452388070224</v>
      </c>
      <c r="AF115" s="10">
        <v>640</v>
      </c>
      <c r="AG115" s="10">
        <v>5434.6991599999992</v>
      </c>
      <c r="AH115" s="12">
        <v>2.0784959143902272E-3</v>
      </c>
      <c r="AI115" s="10">
        <v>1086.9565217391305</v>
      </c>
      <c r="AJ115" s="10">
        <v>1189.0945238807021</v>
      </c>
      <c r="AK115" s="5" t="s">
        <v>113</v>
      </c>
      <c r="AL115" s="5" t="s">
        <v>130</v>
      </c>
      <c r="AM115" s="4" t="s">
        <v>133</v>
      </c>
    </row>
    <row r="116" spans="1:39" x14ac:dyDescent="0.35">
      <c r="A116" s="5" t="s">
        <v>108</v>
      </c>
      <c r="B116" s="9" t="str">
        <f>VLOOKUP(D116,Auxiliar!A:C,2,0)</f>
        <v>RJ ZONA SUL</v>
      </c>
      <c r="C116" s="5" t="str">
        <f>VLOOKUP(D116,Auxiliar!A:C,3,0)</f>
        <v>Luiz</v>
      </c>
      <c r="D116" s="9" t="s">
        <v>48</v>
      </c>
      <c r="E116" s="16">
        <v>0.47036240807524693</v>
      </c>
      <c r="F116" s="24">
        <v>605.77659999999969</v>
      </c>
      <c r="G116" s="53">
        <v>92.934979999999996</v>
      </c>
      <c r="H116" s="10">
        <v>512.84161999999969</v>
      </c>
      <c r="I116" s="10">
        <v>369.50679186518028</v>
      </c>
      <c r="J116" s="10">
        <v>284.9345403316355</v>
      </c>
      <c r="K116" s="10">
        <v>21.195652173913043</v>
      </c>
      <c r="L116" s="10">
        <v>11.885588359631747</v>
      </c>
      <c r="M116" s="10">
        <v>51.491010999999979</v>
      </c>
      <c r="N116" s="11">
        <v>0.03</v>
      </c>
      <c r="O116" s="12">
        <v>0.02</v>
      </c>
      <c r="P116" s="11">
        <v>3.5000000000000003E-2</v>
      </c>
      <c r="Q116" s="35">
        <v>143.33482813481942</v>
      </c>
      <c r="R116" s="12">
        <v>0.27949141127590132</v>
      </c>
      <c r="S116" s="10">
        <v>43.713120987224912</v>
      </c>
      <c r="T116" s="10">
        <v>0.15341460861974537</v>
      </c>
      <c r="U116" s="22">
        <v>1</v>
      </c>
      <c r="V116" s="10">
        <v>39</v>
      </c>
      <c r="W116" s="10">
        <v>18.173297999999988</v>
      </c>
      <c r="X116" s="40">
        <v>283.41332991671737</v>
      </c>
      <c r="Y116" s="39">
        <v>7.2670084594030095</v>
      </c>
      <c r="Z116" s="15">
        <v>0.55536240807524695</v>
      </c>
      <c r="AA116" s="10">
        <v>33.081240533544786</v>
      </c>
      <c r="AB116" s="10">
        <v>3099.8139599999995</v>
      </c>
      <c r="AC116" s="43">
        <v>0.19542353438526994</v>
      </c>
      <c r="AD116" s="43">
        <v>0.11146460588997897</v>
      </c>
      <c r="AE116" s="44">
        <v>4885.5883596317481</v>
      </c>
      <c r="AF116" s="10">
        <v>6999.9999999999991</v>
      </c>
      <c r="AG116" s="10">
        <v>5434.6991599999992</v>
      </c>
      <c r="AH116" s="12">
        <v>0.11146460588997897</v>
      </c>
      <c r="AI116" s="10">
        <v>21195.652173913044</v>
      </c>
      <c r="AJ116" s="10">
        <v>11885.588359631747</v>
      </c>
      <c r="AK116" s="5" t="s">
        <v>29</v>
      </c>
      <c r="AL116" s="5" t="s">
        <v>29</v>
      </c>
      <c r="AM116" s="4" t="s">
        <v>133</v>
      </c>
    </row>
    <row r="117" spans="1:39" x14ac:dyDescent="0.35">
      <c r="A117" s="5" t="s">
        <v>108</v>
      </c>
      <c r="B117" s="9" t="str">
        <f>VLOOKUP(D117,Auxiliar!A:C,2,0)</f>
        <v>AM Pátio Gourmet</v>
      </c>
      <c r="C117" s="5" t="str">
        <f>VLOOKUP(D117,Auxiliar!A:C,3,0)</f>
        <v>Luisa</v>
      </c>
      <c r="D117" s="9" t="s">
        <v>114</v>
      </c>
      <c r="E117" s="16">
        <v>0</v>
      </c>
      <c r="F117" s="24">
        <v>0</v>
      </c>
      <c r="G117" s="53">
        <v>0</v>
      </c>
      <c r="H117" s="10">
        <v>0</v>
      </c>
      <c r="I117" s="10">
        <v>0</v>
      </c>
      <c r="J117" s="10">
        <v>0</v>
      </c>
      <c r="K117" s="10">
        <v>0</v>
      </c>
      <c r="L117" s="10">
        <v>0</v>
      </c>
      <c r="M117" s="10">
        <v>0</v>
      </c>
      <c r="N117" s="11">
        <v>0</v>
      </c>
      <c r="O117" s="12">
        <v>0.02</v>
      </c>
      <c r="P117" s="11">
        <v>3.5000000000000003E-2</v>
      </c>
      <c r="Q117" s="35">
        <v>0</v>
      </c>
      <c r="R117" s="12">
        <v>0</v>
      </c>
      <c r="S117" s="10">
        <v>0</v>
      </c>
      <c r="T117" s="10">
        <v>0</v>
      </c>
      <c r="U117" s="22">
        <v>1</v>
      </c>
      <c r="V117" s="10">
        <v>0</v>
      </c>
      <c r="W117" s="10">
        <v>0</v>
      </c>
      <c r="X117" s="40">
        <v>0</v>
      </c>
      <c r="Y117" s="39">
        <v>0</v>
      </c>
      <c r="Z117" s="15">
        <v>5.5000000000000007E-2</v>
      </c>
      <c r="AA117" s="10">
        <v>0</v>
      </c>
      <c r="AB117" s="10">
        <v>149.25999999999996</v>
      </c>
      <c r="AC117" s="43">
        <v>0</v>
      </c>
      <c r="AD117" s="43">
        <v>0</v>
      </c>
      <c r="AE117" s="44">
        <v>0</v>
      </c>
      <c r="AF117" s="10">
        <v>0</v>
      </c>
      <c r="AG117" s="10">
        <v>5434.6991599999992</v>
      </c>
      <c r="AH117" s="12">
        <v>0</v>
      </c>
      <c r="AI117" s="10">
        <v>0</v>
      </c>
      <c r="AJ117" s="10">
        <v>0</v>
      </c>
      <c r="AK117" s="5" t="s">
        <v>113</v>
      </c>
      <c r="AL117" s="5" t="s">
        <v>113</v>
      </c>
      <c r="AM117" s="4" t="s">
        <v>133</v>
      </c>
    </row>
    <row r="118" spans="1:39" x14ac:dyDescent="0.35">
      <c r="A118" s="5" t="s">
        <v>108</v>
      </c>
      <c r="B118" s="9" t="str">
        <f>VLOOKUP(D118,Auxiliar!A:C,2,0)</f>
        <v>AC ARASUPER</v>
      </c>
      <c r="C118" s="5" t="str">
        <f>VLOOKUP(D118,Auxiliar!A:C,3,0)</f>
        <v>Luisa</v>
      </c>
      <c r="D118" s="9" t="s">
        <v>115</v>
      </c>
      <c r="E118" s="16">
        <v>0.46452145214521462</v>
      </c>
      <c r="F118" s="24">
        <v>0</v>
      </c>
      <c r="G118" s="53">
        <v>0</v>
      </c>
      <c r="H118" s="10">
        <v>0</v>
      </c>
      <c r="I118" s="10">
        <v>1.0869565217391306</v>
      </c>
      <c r="J118" s="10">
        <v>0</v>
      </c>
      <c r="K118" s="10">
        <v>1.0869565217391306</v>
      </c>
      <c r="L118" s="10">
        <v>0</v>
      </c>
      <c r="M118" s="10">
        <v>0</v>
      </c>
      <c r="N118" s="11">
        <v>0</v>
      </c>
      <c r="O118" s="12">
        <v>0.02</v>
      </c>
      <c r="P118" s="11">
        <v>3.5000000000000003E-2</v>
      </c>
      <c r="Q118" s="35">
        <v>-1.0869565217391306</v>
      </c>
      <c r="R118" s="12">
        <v>0</v>
      </c>
      <c r="S118" s="10">
        <v>0</v>
      </c>
      <c r="T118" s="10">
        <v>0</v>
      </c>
      <c r="U118" s="22">
        <v>1</v>
      </c>
      <c r="V118" s="10">
        <v>2</v>
      </c>
      <c r="W118" s="10">
        <v>0</v>
      </c>
      <c r="X118" s="40">
        <v>2.2622373602153836</v>
      </c>
      <c r="Y118" s="39">
        <v>1.1311186801076918</v>
      </c>
      <c r="Z118" s="15">
        <v>0.51952145214521461</v>
      </c>
      <c r="AA118" s="10">
        <v>1.0869565217391306</v>
      </c>
      <c r="AB118" s="10">
        <v>149.25999999999996</v>
      </c>
      <c r="AC118" s="43">
        <v>0</v>
      </c>
      <c r="AD118" s="43">
        <v>0</v>
      </c>
      <c r="AE118" s="44">
        <v>0</v>
      </c>
      <c r="AF118" s="10">
        <v>0</v>
      </c>
      <c r="AG118" s="10">
        <v>5434.6991599999992</v>
      </c>
      <c r="AH118" s="12">
        <v>0</v>
      </c>
      <c r="AI118" s="10">
        <v>1086.9565217391305</v>
      </c>
      <c r="AJ118" s="10">
        <v>0</v>
      </c>
      <c r="AK118" s="5" t="s">
        <v>113</v>
      </c>
      <c r="AL118" s="5" t="s">
        <v>113</v>
      </c>
      <c r="AM118" s="4" t="s">
        <v>133</v>
      </c>
    </row>
    <row r="119" spans="1:39" x14ac:dyDescent="0.35">
      <c r="A119" s="5" t="s">
        <v>108</v>
      </c>
      <c r="B119" s="9" t="str">
        <f>VLOOKUP(D119,Auxiliar!A:C,2,0)</f>
        <v>RS Supermercado Apolo</v>
      </c>
      <c r="C119" s="5" t="str">
        <f>VLOOKUP(D119,Auxiliar!A:C,3,0)</f>
        <v>Luisa</v>
      </c>
      <c r="D119" s="9" t="s">
        <v>116</v>
      </c>
      <c r="E119" s="16">
        <v>0.48262048345411235</v>
      </c>
      <c r="F119" s="24">
        <v>0</v>
      </c>
      <c r="G119" s="53">
        <v>0</v>
      </c>
      <c r="H119" s="10">
        <v>0</v>
      </c>
      <c r="I119" s="10">
        <v>0.5434782608695653</v>
      </c>
      <c r="J119" s="10">
        <v>0</v>
      </c>
      <c r="K119" s="10">
        <v>0.5434782608695653</v>
      </c>
      <c r="L119" s="10">
        <v>0</v>
      </c>
      <c r="M119" s="10">
        <v>0</v>
      </c>
      <c r="N119" s="11">
        <v>0</v>
      </c>
      <c r="O119" s="12">
        <v>0.02</v>
      </c>
      <c r="P119" s="11">
        <v>3.5000000000000003E-2</v>
      </c>
      <c r="Q119" s="35">
        <v>-0.5434782608695653</v>
      </c>
      <c r="R119" s="12">
        <v>0</v>
      </c>
      <c r="S119" s="10">
        <v>0</v>
      </c>
      <c r="T119" s="10">
        <v>0</v>
      </c>
      <c r="U119" s="22">
        <v>1</v>
      </c>
      <c r="V119" s="10">
        <v>1</v>
      </c>
      <c r="W119" s="10">
        <v>0</v>
      </c>
      <c r="X119" s="40">
        <v>1.1753943274336836</v>
      </c>
      <c r="Y119" s="39">
        <v>1.1753943274336836</v>
      </c>
      <c r="Z119" s="15">
        <v>0.5376204834541124</v>
      </c>
      <c r="AA119" s="10">
        <v>0.5434782608695653</v>
      </c>
      <c r="AB119" s="10">
        <v>149.25999999999996</v>
      </c>
      <c r="AC119" s="43">
        <v>0</v>
      </c>
      <c r="AD119" s="43">
        <v>0</v>
      </c>
      <c r="AE119" s="44">
        <v>0</v>
      </c>
      <c r="AF119" s="10">
        <v>0</v>
      </c>
      <c r="AG119" s="10">
        <v>5434.6991599999992</v>
      </c>
      <c r="AH119" s="12">
        <v>0</v>
      </c>
      <c r="AI119" s="10">
        <v>543.47826086956525</v>
      </c>
      <c r="AJ119" s="10">
        <v>0</v>
      </c>
      <c r="AK119" s="5" t="s">
        <v>113</v>
      </c>
      <c r="AL119" s="5" t="s">
        <v>113</v>
      </c>
      <c r="AM119" s="4" t="s">
        <v>133</v>
      </c>
    </row>
    <row r="120" spans="1:39" x14ac:dyDescent="0.35">
      <c r="A120" s="5" t="s">
        <v>108</v>
      </c>
      <c r="B120" s="9" t="str">
        <f>VLOOKUP(D120,Auxiliar!A:C,2,0)</f>
        <v>AC ARASUPER</v>
      </c>
      <c r="C120" s="5" t="str">
        <f>VLOOKUP(D120,Auxiliar!A:C,3,0)</f>
        <v>Luisa</v>
      </c>
      <c r="D120" s="9" t="s">
        <v>117</v>
      </c>
      <c r="E120" s="16">
        <v>0.4633883065144333</v>
      </c>
      <c r="F120" s="24">
        <v>0</v>
      </c>
      <c r="G120" s="53">
        <v>0</v>
      </c>
      <c r="H120" s="10">
        <v>0</v>
      </c>
      <c r="I120" s="10">
        <v>0</v>
      </c>
      <c r="J120" s="10">
        <v>0</v>
      </c>
      <c r="K120" s="10">
        <v>0</v>
      </c>
      <c r="L120" s="10">
        <v>0</v>
      </c>
      <c r="M120" s="10">
        <v>0</v>
      </c>
      <c r="N120" s="11">
        <v>0</v>
      </c>
      <c r="O120" s="12">
        <v>0.02</v>
      </c>
      <c r="P120" s="11">
        <v>3.5000000000000003E-2</v>
      </c>
      <c r="Q120" s="35">
        <v>0</v>
      </c>
      <c r="R120" s="12">
        <v>0</v>
      </c>
      <c r="S120" s="10">
        <v>0</v>
      </c>
      <c r="T120" s="10">
        <v>0</v>
      </c>
      <c r="U120" s="22">
        <v>1</v>
      </c>
      <c r="V120" s="10">
        <v>0</v>
      </c>
      <c r="W120" s="10">
        <v>0</v>
      </c>
      <c r="X120" s="40">
        <v>0</v>
      </c>
      <c r="Y120" s="39">
        <v>0</v>
      </c>
      <c r="Z120" s="15">
        <v>0.51838830651443335</v>
      </c>
      <c r="AA120" s="10">
        <v>0</v>
      </c>
      <c r="AB120" s="10">
        <v>149.25999999999996</v>
      </c>
      <c r="AC120" s="43">
        <v>0</v>
      </c>
      <c r="AD120" s="43">
        <v>0</v>
      </c>
      <c r="AE120" s="44">
        <v>0</v>
      </c>
      <c r="AF120" s="10">
        <v>0</v>
      </c>
      <c r="AG120" s="10">
        <v>5434.6991599999992</v>
      </c>
      <c r="AH120" s="12">
        <v>0</v>
      </c>
      <c r="AI120" s="10">
        <v>0</v>
      </c>
      <c r="AJ120" s="10">
        <v>0</v>
      </c>
      <c r="AK120" s="5" t="s">
        <v>113</v>
      </c>
      <c r="AL120" s="5" t="s">
        <v>113</v>
      </c>
      <c r="AM120" s="4" t="s">
        <v>133</v>
      </c>
    </row>
    <row r="121" spans="1:39" x14ac:dyDescent="0.35">
      <c r="A121" s="5" t="s">
        <v>108</v>
      </c>
      <c r="B121" s="9" t="str">
        <f>VLOOKUP(D121,Auxiliar!A:C,2,0)</f>
        <v>MG SUPERMERCADO MONTEREY</v>
      </c>
      <c r="C121" s="5" t="str">
        <f>VLOOKUP(D121,Auxiliar!A:C,3,0)</f>
        <v>Luisa</v>
      </c>
      <c r="D121" s="9" t="s">
        <v>118</v>
      </c>
      <c r="E121" s="16">
        <v>0</v>
      </c>
      <c r="F121" s="24">
        <v>0</v>
      </c>
      <c r="G121" s="53">
        <v>0</v>
      </c>
      <c r="H121" s="10">
        <v>0</v>
      </c>
      <c r="I121" s="10">
        <v>0.5434782608695653</v>
      </c>
      <c r="J121" s="10">
        <v>0</v>
      </c>
      <c r="K121" s="10">
        <v>0.5434782608695653</v>
      </c>
      <c r="L121" s="10">
        <v>0</v>
      </c>
      <c r="M121" s="10">
        <v>0</v>
      </c>
      <c r="N121" s="11">
        <v>0</v>
      </c>
      <c r="O121" s="12">
        <v>0.02</v>
      </c>
      <c r="P121" s="11">
        <v>3.5000000000000003E-2</v>
      </c>
      <c r="Q121" s="35">
        <v>-0.5434782608695653</v>
      </c>
      <c r="R121" s="12">
        <v>0</v>
      </c>
      <c r="S121" s="10">
        <v>0</v>
      </c>
      <c r="T121" s="10">
        <v>0</v>
      </c>
      <c r="U121" s="22">
        <v>1</v>
      </c>
      <c r="V121" s="10">
        <v>1</v>
      </c>
      <c r="W121" s="10">
        <v>0</v>
      </c>
      <c r="X121" s="40">
        <v>0.5751092707614448</v>
      </c>
      <c r="Y121" s="39">
        <v>0.5751092707614448</v>
      </c>
      <c r="Z121" s="15">
        <v>5.5000000000000007E-2</v>
      </c>
      <c r="AA121" s="10">
        <v>0.5434782608695653</v>
      </c>
      <c r="AB121" s="10">
        <v>149.25999999999996</v>
      </c>
      <c r="AC121" s="43">
        <v>0</v>
      </c>
      <c r="AD121" s="43">
        <v>0</v>
      </c>
      <c r="AE121" s="44">
        <v>0</v>
      </c>
      <c r="AF121" s="10">
        <v>0</v>
      </c>
      <c r="AG121" s="10">
        <v>5434.6991599999992</v>
      </c>
      <c r="AH121" s="12">
        <v>0</v>
      </c>
      <c r="AI121" s="10">
        <v>543.47826086956525</v>
      </c>
      <c r="AJ121" s="10">
        <v>0</v>
      </c>
      <c r="AK121" s="5" t="s">
        <v>113</v>
      </c>
      <c r="AL121" s="5" t="s">
        <v>113</v>
      </c>
      <c r="AM121" s="4" t="s">
        <v>133</v>
      </c>
    </row>
    <row r="122" spans="1:39" x14ac:dyDescent="0.35">
      <c r="A122" s="5" t="s">
        <v>108</v>
      </c>
      <c r="B122" s="9" t="str">
        <f>VLOOKUP(D122,Auxiliar!A:C,2,0)</f>
        <v>RJ ZONA SUL - Me Bebe</v>
      </c>
      <c r="C122" s="5" t="str">
        <f>VLOOKUP(D122,Auxiliar!A:C,3,0)</f>
        <v>Luiz</v>
      </c>
      <c r="D122" s="9" t="s">
        <v>73</v>
      </c>
      <c r="E122" s="16">
        <v>0.48979707792207794</v>
      </c>
      <c r="F122" s="24">
        <v>123.20000000000002</v>
      </c>
      <c r="G122" s="53">
        <v>0</v>
      </c>
      <c r="H122" s="10">
        <v>123.20000000000002</v>
      </c>
      <c r="I122" s="10">
        <v>71.808608016398523</v>
      </c>
      <c r="J122" s="10">
        <v>60.343000000000011</v>
      </c>
      <c r="K122" s="10">
        <v>0</v>
      </c>
      <c r="L122" s="10">
        <v>0.99360801639850704</v>
      </c>
      <c r="M122" s="10">
        <v>10.472000000000003</v>
      </c>
      <c r="N122" s="11">
        <v>0.03</v>
      </c>
      <c r="O122" s="12">
        <v>0.02</v>
      </c>
      <c r="P122" s="11">
        <v>3.5000000000000003E-2</v>
      </c>
      <c r="Q122" s="35">
        <v>51.391391983601494</v>
      </c>
      <c r="R122" s="12">
        <v>0.41713792194481725</v>
      </c>
      <c r="S122" s="10">
        <v>0</v>
      </c>
      <c r="T122" s="10">
        <v>0</v>
      </c>
      <c r="U122" s="22">
        <v>1</v>
      </c>
      <c r="V122" s="10">
        <v>0</v>
      </c>
      <c r="W122" s="10">
        <v>3.6960000000000002</v>
      </c>
      <c r="X122" s="40">
        <v>2.3367854847818279</v>
      </c>
      <c r="Y122" s="39">
        <v>2.3367854847818279</v>
      </c>
      <c r="Z122" s="15">
        <v>0.5747970779220779</v>
      </c>
      <c r="AA122" s="10">
        <v>0.99360801639850704</v>
      </c>
      <c r="AB122" s="10">
        <v>3099.8139599999995</v>
      </c>
      <c r="AC122" s="43">
        <v>3.9744320655940281E-2</v>
      </c>
      <c r="AD122" s="43">
        <v>2.2669148074794268E-2</v>
      </c>
      <c r="AE122" s="44">
        <v>993.60801639850706</v>
      </c>
      <c r="AF122" s="10">
        <v>0</v>
      </c>
      <c r="AG122" s="10">
        <v>5434.6991599999992</v>
      </c>
      <c r="AH122" s="12">
        <v>2.2669148074794268E-2</v>
      </c>
      <c r="AI122" s="10">
        <v>0</v>
      </c>
      <c r="AJ122" s="10">
        <v>993.60801639850706</v>
      </c>
      <c r="AK122" s="5" t="s">
        <v>29</v>
      </c>
      <c r="AL122" s="5" t="s">
        <v>29</v>
      </c>
      <c r="AM122" s="4" t="s">
        <v>133</v>
      </c>
    </row>
    <row r="123" spans="1:39" x14ac:dyDescent="0.35">
      <c r="A123" s="5" t="s">
        <v>108</v>
      </c>
      <c r="B123" s="9" t="str">
        <f>VLOOKUP(D123,Auxiliar!A:C,2,0)</f>
        <v>SP CONFIANÇA</v>
      </c>
      <c r="C123" s="5" t="str">
        <f>VLOOKUP(D123,Auxiliar!A:C,3,0)</f>
        <v>Julliano</v>
      </c>
      <c r="D123" s="9" t="s">
        <v>120</v>
      </c>
      <c r="E123" s="16">
        <v>0</v>
      </c>
      <c r="F123" s="24">
        <v>0</v>
      </c>
      <c r="G123" s="53">
        <v>0</v>
      </c>
      <c r="H123" s="10">
        <v>0</v>
      </c>
      <c r="I123" s="10">
        <v>1.3821565217391305</v>
      </c>
      <c r="J123" s="10">
        <v>0</v>
      </c>
      <c r="K123" s="10">
        <v>1.0869565217391306</v>
      </c>
      <c r="L123" s="10">
        <v>0.29519999999999996</v>
      </c>
      <c r="M123" s="10">
        <v>0</v>
      </c>
      <c r="N123" s="11">
        <v>0.08</v>
      </c>
      <c r="O123" s="12">
        <v>0.02</v>
      </c>
      <c r="P123" s="11">
        <v>3.5000000000000003E-2</v>
      </c>
      <c r="Q123" s="35">
        <v>-1.3821565217391305</v>
      </c>
      <c r="R123" s="12">
        <v>0</v>
      </c>
      <c r="S123" s="10">
        <v>0</v>
      </c>
      <c r="T123" s="10">
        <v>0</v>
      </c>
      <c r="U123" s="22">
        <v>1</v>
      </c>
      <c r="V123" s="10">
        <v>2</v>
      </c>
      <c r="W123" s="10">
        <v>0</v>
      </c>
      <c r="X123" s="40">
        <v>1.5978688112591104</v>
      </c>
      <c r="Y123" s="39">
        <v>0.7989344056295552</v>
      </c>
      <c r="Z123" s="15">
        <v>0.13500000000000001</v>
      </c>
      <c r="AA123" s="10">
        <v>1.3821565217391305</v>
      </c>
      <c r="AB123" s="10">
        <v>411.44099999999986</v>
      </c>
      <c r="AC123" s="43">
        <v>0</v>
      </c>
      <c r="AD123" s="43">
        <v>0</v>
      </c>
      <c r="AE123" s="44">
        <v>0</v>
      </c>
      <c r="AF123" s="10">
        <v>295.2</v>
      </c>
      <c r="AG123" s="10">
        <v>5434.6991599999992</v>
      </c>
      <c r="AH123" s="12">
        <v>0</v>
      </c>
      <c r="AI123" s="10">
        <v>1086.9565217391305</v>
      </c>
      <c r="AJ123" s="10">
        <v>295.2</v>
      </c>
      <c r="AK123" s="5" t="s">
        <v>113</v>
      </c>
      <c r="AL123" s="5" t="s">
        <v>130</v>
      </c>
      <c r="AM123" s="4" t="s">
        <v>133</v>
      </c>
    </row>
    <row r="124" spans="1:39" x14ac:dyDescent="0.35">
      <c r="A124" s="5" t="s">
        <v>108</v>
      </c>
      <c r="B124" s="9" t="str">
        <f>VLOOKUP(D124,Auxiliar!A:C,2,0)</f>
        <v>REDE OBA</v>
      </c>
      <c r="C124" s="5" t="str">
        <f>VLOOKUP(D124,Auxiliar!A:C,3,0)</f>
        <v>Julliano</v>
      </c>
      <c r="D124" s="9" t="s">
        <v>32</v>
      </c>
      <c r="E124" s="16">
        <v>0.60840030320803706</v>
      </c>
      <c r="F124" s="24">
        <v>46.647840000000009</v>
      </c>
      <c r="G124" s="53">
        <v>0</v>
      </c>
      <c r="H124" s="10">
        <v>46.647840000000009</v>
      </c>
      <c r="I124" s="10">
        <v>44.348401625419349</v>
      </c>
      <c r="J124" s="10">
        <v>28.380560000000006</v>
      </c>
      <c r="K124" s="10">
        <v>7.1725032425421533</v>
      </c>
      <c r="L124" s="10">
        <v>5.1894603508771935</v>
      </c>
      <c r="M124" s="10">
        <v>3.605878032000001</v>
      </c>
      <c r="N124" s="11">
        <v>1.4999999999999999E-2</v>
      </c>
      <c r="O124" s="12">
        <v>2.5899999999999999E-2</v>
      </c>
      <c r="P124" s="11">
        <v>3.6400000000000002E-2</v>
      </c>
      <c r="Q124" s="35">
        <v>2.2994383745806601</v>
      </c>
      <c r="R124" s="12">
        <v>4.9293565888166732E-2</v>
      </c>
      <c r="S124" s="10">
        <v>0</v>
      </c>
      <c r="T124" s="10">
        <v>0</v>
      </c>
      <c r="U124" s="22">
        <v>1</v>
      </c>
      <c r="V124" s="10">
        <v>14</v>
      </c>
      <c r="W124" s="10">
        <v>0.69971760000000016</v>
      </c>
      <c r="X124" s="40">
        <v>39.331770662196391</v>
      </c>
      <c r="Y124" s="39">
        <v>2.8094121901568849</v>
      </c>
      <c r="Z124" s="15">
        <v>0.6857003032080371</v>
      </c>
      <c r="AA124" s="10">
        <v>12.361963593419347</v>
      </c>
      <c r="AB124" s="10">
        <v>476.06442000000015</v>
      </c>
      <c r="AC124" s="43">
        <v>9.7986402764567021E-2</v>
      </c>
      <c r="AD124" s="43">
        <v>7.1538378010043034E-3</v>
      </c>
      <c r="AE124" s="44">
        <v>2456.1403508771932</v>
      </c>
      <c r="AF124" s="10">
        <v>2733.32</v>
      </c>
      <c r="AG124" s="10">
        <v>6520.6734200000001</v>
      </c>
      <c r="AH124" s="12">
        <v>7.1538378010043034E-3</v>
      </c>
      <c r="AI124" s="10">
        <v>7172.5032425421532</v>
      </c>
      <c r="AJ124" s="10">
        <v>5189.4603508771934</v>
      </c>
      <c r="AK124" s="5" t="s">
        <v>130</v>
      </c>
      <c r="AL124" s="5" t="s">
        <v>130</v>
      </c>
      <c r="AM124" s="4" t="s">
        <v>134</v>
      </c>
    </row>
    <row r="125" spans="1:39" x14ac:dyDescent="0.35">
      <c r="A125" s="5" t="s">
        <v>108</v>
      </c>
      <c r="B125" s="9" t="str">
        <f>VLOOKUP(D125,Auxiliar!A:C,2,0)</f>
        <v>SP BOA</v>
      </c>
      <c r="C125" s="5" t="str">
        <f>VLOOKUP(D125,Auxiliar!A:C,3,0)</f>
        <v>Julliano</v>
      </c>
      <c r="D125" s="9" t="s">
        <v>49</v>
      </c>
      <c r="E125" s="16">
        <v>0.49746726393004836</v>
      </c>
      <c r="F125" s="24">
        <v>40.000219999999992</v>
      </c>
      <c r="G125" s="53">
        <v>18.857320000000001</v>
      </c>
      <c r="H125" s="10">
        <v>21.14289999999999</v>
      </c>
      <c r="I125" s="10">
        <v>41.455234239456203</v>
      </c>
      <c r="J125" s="10">
        <v>19.898799999999994</v>
      </c>
      <c r="K125" s="10">
        <v>10.246433203631648</v>
      </c>
      <c r="L125" s="10">
        <v>6.0179719298245606</v>
      </c>
      <c r="M125" s="10">
        <v>5.2920291060000002</v>
      </c>
      <c r="N125" s="11">
        <v>7.0000000000000007E-2</v>
      </c>
      <c r="O125" s="12">
        <v>2.5899999999999999E-2</v>
      </c>
      <c r="P125" s="11">
        <v>3.6400000000000002E-2</v>
      </c>
      <c r="Q125" s="35">
        <v>-20.312334239456213</v>
      </c>
      <c r="R125" s="12">
        <v>-0.96071656392719174</v>
      </c>
      <c r="S125" s="10">
        <v>9.3808993854533806</v>
      </c>
      <c r="T125" s="10">
        <v>0.47143040713276091</v>
      </c>
      <c r="U125" s="22">
        <v>1</v>
      </c>
      <c r="V125" s="10">
        <v>20</v>
      </c>
      <c r="W125" s="10">
        <v>2.8000153999999995</v>
      </c>
      <c r="X125" s="40">
        <v>94.86391048580947</v>
      </c>
      <c r="Y125" s="39">
        <v>4.7431955242904733</v>
      </c>
      <c r="Z125" s="15">
        <v>0.62976726393004845</v>
      </c>
      <c r="AA125" s="10">
        <v>16.264405133456208</v>
      </c>
      <c r="AB125" s="10">
        <v>476.06442000000015</v>
      </c>
      <c r="AC125" s="43">
        <v>8.4022704322242736E-2</v>
      </c>
      <c r="AD125" s="43">
        <v>6.1343694774396466E-3</v>
      </c>
      <c r="AE125" s="44">
        <v>3508.7719298245615</v>
      </c>
      <c r="AF125" s="10">
        <v>2509.1999999999994</v>
      </c>
      <c r="AG125" s="10">
        <v>6520.6734200000001</v>
      </c>
      <c r="AH125" s="12">
        <v>6.1343694774396466E-3</v>
      </c>
      <c r="AI125" s="10">
        <v>10246.433203631648</v>
      </c>
      <c r="AJ125" s="10">
        <v>6017.9719298245609</v>
      </c>
      <c r="AK125" s="5" t="s">
        <v>130</v>
      </c>
      <c r="AL125" s="5" t="s">
        <v>130</v>
      </c>
      <c r="AM125" s="4" t="s">
        <v>134</v>
      </c>
    </row>
    <row r="126" spans="1:39" x14ac:dyDescent="0.35">
      <c r="A126" s="5" t="s">
        <v>108</v>
      </c>
      <c r="B126" s="9" t="str">
        <f>VLOOKUP(D126,Auxiliar!A:C,2,0)</f>
        <v>SP CASA SANTA LUZIA</v>
      </c>
      <c r="C126" s="5" t="str">
        <f>VLOOKUP(D126,Auxiliar!A:C,3,0)</f>
        <v>Julliano</v>
      </c>
      <c r="D126" s="9" t="s">
        <v>19</v>
      </c>
      <c r="E126" s="16">
        <v>0.49243066025318866</v>
      </c>
      <c r="F126" s="24">
        <v>8.3573999999999984</v>
      </c>
      <c r="G126" s="53">
        <v>0</v>
      </c>
      <c r="H126" s="10">
        <v>8.3573999999999984</v>
      </c>
      <c r="I126" s="10">
        <v>5.323866276672808</v>
      </c>
      <c r="J126" s="10">
        <v>4.1154399999999978</v>
      </c>
      <c r="K126" s="10">
        <v>0.51232166018158243</v>
      </c>
      <c r="L126" s="10">
        <v>0.17543859649122809</v>
      </c>
      <c r="M126" s="10">
        <v>0.52066601999999995</v>
      </c>
      <c r="N126" s="11">
        <v>0</v>
      </c>
      <c r="O126" s="12">
        <v>2.5899999999999999E-2</v>
      </c>
      <c r="P126" s="11">
        <v>3.6400000000000002E-2</v>
      </c>
      <c r="Q126" s="35">
        <v>3.0335337233271904</v>
      </c>
      <c r="R126" s="12">
        <v>0.36297577276751036</v>
      </c>
      <c r="S126" s="10">
        <v>0</v>
      </c>
      <c r="T126" s="10">
        <v>0</v>
      </c>
      <c r="U126" s="22">
        <v>1</v>
      </c>
      <c r="V126" s="10">
        <v>1</v>
      </c>
      <c r="W126" s="10">
        <v>0</v>
      </c>
      <c r="X126" s="40">
        <v>1.5445937891521659</v>
      </c>
      <c r="Y126" s="39">
        <v>1.5445937891521659</v>
      </c>
      <c r="Z126" s="15">
        <v>0.55473066025318862</v>
      </c>
      <c r="AA126" s="10">
        <v>0.68776025667281049</v>
      </c>
      <c r="AB126" s="10">
        <v>476.06442000000015</v>
      </c>
      <c r="AC126" s="43">
        <v>1.7555187174038329E-2</v>
      </c>
      <c r="AD126" s="43">
        <v>1.281677437542946E-3</v>
      </c>
      <c r="AE126" s="44">
        <v>175.43859649122808</v>
      </c>
      <c r="AF126" s="10">
        <v>0</v>
      </c>
      <c r="AG126" s="10">
        <v>6520.6734200000001</v>
      </c>
      <c r="AH126" s="12">
        <v>1.281677437542946E-3</v>
      </c>
      <c r="AI126" s="10">
        <v>512.32166018158239</v>
      </c>
      <c r="AJ126" s="10">
        <v>175.43859649122808</v>
      </c>
      <c r="AK126" s="5" t="s">
        <v>130</v>
      </c>
      <c r="AL126" s="5" t="s">
        <v>130</v>
      </c>
      <c r="AM126" s="4" t="s">
        <v>134</v>
      </c>
    </row>
    <row r="127" spans="1:39" x14ac:dyDescent="0.35">
      <c r="A127" s="5" t="s">
        <v>108</v>
      </c>
      <c r="B127" s="9" t="str">
        <f>VLOOKUP(D127,Auxiliar!A:C,2,0)</f>
        <v>SP CONFIANÇA</v>
      </c>
      <c r="C127" s="5" t="str">
        <f>VLOOKUP(D127,Auxiliar!A:C,3,0)</f>
        <v>Julliano</v>
      </c>
      <c r="D127" s="9" t="s">
        <v>120</v>
      </c>
      <c r="E127" s="16">
        <v>0</v>
      </c>
      <c r="F127" s="24">
        <v>0</v>
      </c>
      <c r="G127" s="53">
        <v>0</v>
      </c>
      <c r="H127" s="10">
        <v>0</v>
      </c>
      <c r="I127" s="10">
        <v>1.6707205133456209</v>
      </c>
      <c r="J127" s="10">
        <v>0</v>
      </c>
      <c r="K127" s="10">
        <v>1.0246433203631649</v>
      </c>
      <c r="L127" s="10">
        <v>0.64607719298245614</v>
      </c>
      <c r="M127" s="10">
        <v>0</v>
      </c>
      <c r="N127" s="11">
        <v>0.08</v>
      </c>
      <c r="O127" s="12">
        <v>2.5899999999999999E-2</v>
      </c>
      <c r="P127" s="11">
        <v>3.6400000000000002E-2</v>
      </c>
      <c r="Q127" s="35">
        <v>-1.6707205133456209</v>
      </c>
      <c r="R127" s="12">
        <v>0</v>
      </c>
      <c r="S127" s="10">
        <v>0</v>
      </c>
      <c r="T127" s="10">
        <v>0</v>
      </c>
      <c r="U127" s="22">
        <v>1</v>
      </c>
      <c r="V127" s="10">
        <v>2</v>
      </c>
      <c r="W127" s="10">
        <v>0</v>
      </c>
      <c r="X127" s="40">
        <v>1.9479077921716461</v>
      </c>
      <c r="Y127" s="39">
        <v>0.97395389608582306</v>
      </c>
      <c r="Z127" s="15">
        <v>0.14229999999999998</v>
      </c>
      <c r="AA127" s="10">
        <v>1.6707205133456209</v>
      </c>
      <c r="AB127" s="10">
        <v>476.06442000000015</v>
      </c>
      <c r="AC127" s="43">
        <v>0</v>
      </c>
      <c r="AD127" s="43">
        <v>0</v>
      </c>
      <c r="AE127" s="44">
        <v>350.87719298245617</v>
      </c>
      <c r="AF127" s="10">
        <v>295.2</v>
      </c>
      <c r="AG127" s="10">
        <v>6520.6734200000001</v>
      </c>
      <c r="AH127" s="12">
        <v>0</v>
      </c>
      <c r="AI127" s="10">
        <v>1024.6433203631648</v>
      </c>
      <c r="AJ127" s="10">
        <v>646.07719298245615</v>
      </c>
      <c r="AK127" s="5" t="s">
        <v>130</v>
      </c>
      <c r="AL127" s="5" t="s">
        <v>130</v>
      </c>
      <c r="AM127" s="4" t="s">
        <v>134</v>
      </c>
    </row>
    <row r="128" spans="1:39" x14ac:dyDescent="0.35">
      <c r="A128" s="5" t="s">
        <v>108</v>
      </c>
      <c r="B128" s="9" t="str">
        <f>VLOOKUP(D128,Auxiliar!A:C,2,0)</f>
        <v>SP FORT</v>
      </c>
      <c r="C128" s="5" t="str">
        <f>VLOOKUP(D128,Auxiliar!A:C,3,0)</f>
        <v>Julliano</v>
      </c>
      <c r="D128" s="9" t="s">
        <v>50</v>
      </c>
      <c r="E128" s="16">
        <v>0.49970360490533899</v>
      </c>
      <c r="F128" s="24">
        <v>10.7964</v>
      </c>
      <c r="G128" s="53">
        <v>0</v>
      </c>
      <c r="H128" s="10">
        <v>10.7964</v>
      </c>
      <c r="I128" s="10">
        <v>9.9577724900184332</v>
      </c>
      <c r="J128" s="10">
        <v>5.3950000000000022</v>
      </c>
      <c r="K128" s="10">
        <v>1.536964980544747</v>
      </c>
      <c r="L128" s="10">
        <v>1.3815157894736845</v>
      </c>
      <c r="M128" s="10">
        <v>1.64429172</v>
      </c>
      <c r="N128" s="11">
        <v>0.09</v>
      </c>
      <c r="O128" s="12">
        <v>2.5899999999999999E-2</v>
      </c>
      <c r="P128" s="11">
        <v>3.6400000000000002E-2</v>
      </c>
      <c r="Q128" s="35">
        <v>0.83862750998156699</v>
      </c>
      <c r="R128" s="12">
        <v>7.7676587564518451E-2</v>
      </c>
      <c r="S128" s="10">
        <v>0</v>
      </c>
      <c r="T128" s="10">
        <v>0</v>
      </c>
      <c r="U128" s="22">
        <v>1</v>
      </c>
      <c r="V128" s="10">
        <v>3</v>
      </c>
      <c r="W128" s="10">
        <v>0.97167599999999998</v>
      </c>
      <c r="X128" s="40">
        <v>8.3865258696848137</v>
      </c>
      <c r="Y128" s="39">
        <v>2.7955086232282711</v>
      </c>
      <c r="Z128" s="15">
        <v>0.65200360490533904</v>
      </c>
      <c r="AA128" s="10">
        <v>2.9184807700184314</v>
      </c>
      <c r="AB128" s="10">
        <v>476.06442000000015</v>
      </c>
      <c r="AC128" s="43">
        <v>2.2678443392177883E-2</v>
      </c>
      <c r="AD128" s="43">
        <v>1.6557185592036598E-3</v>
      </c>
      <c r="AE128" s="44">
        <v>526.31578947368428</v>
      </c>
      <c r="AF128" s="10">
        <v>855.2</v>
      </c>
      <c r="AG128" s="10">
        <v>6520.6734200000001</v>
      </c>
      <c r="AH128" s="12">
        <v>1.6557185592036598E-3</v>
      </c>
      <c r="AI128" s="10">
        <v>1536.964980544747</v>
      </c>
      <c r="AJ128" s="10">
        <v>1381.5157894736844</v>
      </c>
      <c r="AK128" s="5" t="s">
        <v>130</v>
      </c>
      <c r="AL128" s="5" t="s">
        <v>130</v>
      </c>
      <c r="AM128" s="4" t="s">
        <v>134</v>
      </c>
    </row>
    <row r="129" spans="1:39" x14ac:dyDescent="0.35">
      <c r="A129" s="5" t="s">
        <v>108</v>
      </c>
      <c r="B129" s="9" t="str">
        <f>VLOOKUP(D129,Auxiliar!A:C,2,0)</f>
        <v>SP INFANGER</v>
      </c>
      <c r="C129" s="5" t="str">
        <f>VLOOKUP(D129,Auxiliar!A:C,3,0)</f>
        <v>Julliano</v>
      </c>
      <c r="D129" s="9" t="s">
        <v>20</v>
      </c>
      <c r="E129" s="16">
        <v>0</v>
      </c>
      <c r="F129" s="24">
        <v>0</v>
      </c>
      <c r="G129" s="53">
        <v>0</v>
      </c>
      <c r="H129" s="10">
        <v>0</v>
      </c>
      <c r="I129" s="10">
        <v>1.375520513345621</v>
      </c>
      <c r="J129" s="10">
        <v>0</v>
      </c>
      <c r="K129" s="10">
        <v>1.0246433203631649</v>
      </c>
      <c r="L129" s="10">
        <v>0.35087719298245618</v>
      </c>
      <c r="M129" s="10">
        <v>0</v>
      </c>
      <c r="N129" s="11">
        <v>0</v>
      </c>
      <c r="O129" s="12">
        <v>2.5899999999999999E-2</v>
      </c>
      <c r="P129" s="11">
        <v>3.6400000000000002E-2</v>
      </c>
      <c r="Q129" s="35">
        <v>-1.375520513345621</v>
      </c>
      <c r="R129" s="12">
        <v>0</v>
      </c>
      <c r="S129" s="10">
        <v>0</v>
      </c>
      <c r="T129" s="10">
        <v>0</v>
      </c>
      <c r="U129" s="22">
        <v>1</v>
      </c>
      <c r="V129" s="10">
        <v>2</v>
      </c>
      <c r="W129" s="10">
        <v>0</v>
      </c>
      <c r="X129" s="40">
        <v>1.4669089403280591</v>
      </c>
      <c r="Y129" s="39">
        <v>0.73345447016402954</v>
      </c>
      <c r="Z129" s="15">
        <v>6.2300000000000001E-2</v>
      </c>
      <c r="AA129" s="10">
        <v>1.375520513345621</v>
      </c>
      <c r="AB129" s="10">
        <v>476.06442000000015</v>
      </c>
      <c r="AC129" s="43">
        <v>0</v>
      </c>
      <c r="AD129" s="43">
        <v>0</v>
      </c>
      <c r="AE129" s="44">
        <v>350.87719298245617</v>
      </c>
      <c r="AF129" s="10">
        <v>0</v>
      </c>
      <c r="AG129" s="10">
        <v>6520.6734200000001</v>
      </c>
      <c r="AH129" s="12">
        <v>0</v>
      </c>
      <c r="AI129" s="10">
        <v>1024.6433203631648</v>
      </c>
      <c r="AJ129" s="10">
        <v>350.87719298245617</v>
      </c>
      <c r="AK129" s="5" t="s">
        <v>130</v>
      </c>
      <c r="AL129" s="5" t="s">
        <v>130</v>
      </c>
      <c r="AM129" s="4" t="s">
        <v>134</v>
      </c>
    </row>
    <row r="130" spans="1:39" x14ac:dyDescent="0.35">
      <c r="A130" s="5" t="s">
        <v>108</v>
      </c>
      <c r="B130" s="9" t="str">
        <f>VLOOKUP(D130,Auxiliar!A:C,2,0)</f>
        <v>SP MAMBO</v>
      </c>
      <c r="C130" s="5" t="str">
        <f>VLOOKUP(D130,Auxiliar!A:C,3,0)</f>
        <v>Julliano</v>
      </c>
      <c r="D130" s="9" t="s">
        <v>51</v>
      </c>
      <c r="E130" s="16">
        <v>0.48530477590509724</v>
      </c>
      <c r="F130" s="24">
        <v>23.400799999999993</v>
      </c>
      <c r="G130" s="53">
        <v>0</v>
      </c>
      <c r="H130" s="10">
        <v>23.400799999999993</v>
      </c>
      <c r="I130" s="10">
        <v>32.950873690092152</v>
      </c>
      <c r="J130" s="10">
        <v>11.356519999999996</v>
      </c>
      <c r="K130" s="10">
        <v>7.6848249027237365</v>
      </c>
      <c r="L130" s="10">
        <v>10.111578947368422</v>
      </c>
      <c r="M130" s="10">
        <v>3.7979498399999989</v>
      </c>
      <c r="N130" s="11">
        <v>0.1</v>
      </c>
      <c r="O130" s="12">
        <v>2.5899999999999999E-2</v>
      </c>
      <c r="P130" s="11">
        <v>3.6400000000000002E-2</v>
      </c>
      <c r="Q130" s="35">
        <v>-9.5500736900921588</v>
      </c>
      <c r="R130" s="12">
        <v>-0.40810885482941445</v>
      </c>
      <c r="S130" s="10">
        <v>0</v>
      </c>
      <c r="T130" s="10">
        <v>0</v>
      </c>
      <c r="U130" s="22">
        <v>1</v>
      </c>
      <c r="V130" s="10">
        <v>15</v>
      </c>
      <c r="W130" s="10">
        <v>2.3400799999999995</v>
      </c>
      <c r="X130" s="40">
        <v>50.5012628811889</v>
      </c>
      <c r="Y130" s="39">
        <v>3.3667508587459265</v>
      </c>
      <c r="Z130" s="15">
        <v>0.64760477590509724</v>
      </c>
      <c r="AA130" s="10">
        <v>17.796403850092158</v>
      </c>
      <c r="AB130" s="10">
        <v>476.06442000000015</v>
      </c>
      <c r="AC130" s="43">
        <v>4.9154692131791716E-2</v>
      </c>
      <c r="AD130" s="43">
        <v>3.5887090937917255E-3</v>
      </c>
      <c r="AE130" s="44">
        <v>2631.5789473684213</v>
      </c>
      <c r="AF130" s="10">
        <v>7480</v>
      </c>
      <c r="AG130" s="10">
        <v>6520.6734200000001</v>
      </c>
      <c r="AH130" s="12">
        <v>3.5887090937917255E-3</v>
      </c>
      <c r="AI130" s="10">
        <v>7684.8249027237362</v>
      </c>
      <c r="AJ130" s="10">
        <v>10111.578947368422</v>
      </c>
      <c r="AK130" s="5" t="s">
        <v>130</v>
      </c>
      <c r="AL130" s="5" t="s">
        <v>130</v>
      </c>
      <c r="AM130" s="4" t="s">
        <v>134</v>
      </c>
    </row>
    <row r="131" spans="1:39" x14ac:dyDescent="0.35">
      <c r="A131" s="5" t="s">
        <v>108</v>
      </c>
      <c r="B131" s="9" t="str">
        <f>VLOOKUP(D131,Auxiliar!A:C,2,0)</f>
        <v>REDE OBA</v>
      </c>
      <c r="C131" s="5" t="str">
        <f>VLOOKUP(D131,Auxiliar!A:C,3,0)</f>
        <v>Julliano</v>
      </c>
      <c r="D131" s="9" t="s">
        <v>52</v>
      </c>
      <c r="E131" s="16">
        <v>0.59301052246397934</v>
      </c>
      <c r="F131" s="24">
        <v>326.18976000000009</v>
      </c>
      <c r="G131" s="53">
        <v>0</v>
      </c>
      <c r="H131" s="10">
        <v>326.18976000000009</v>
      </c>
      <c r="I131" s="10">
        <v>262.27252205165905</v>
      </c>
      <c r="J131" s="10">
        <v>193.43396000000007</v>
      </c>
      <c r="K131" s="10">
        <v>27.153047989623865</v>
      </c>
      <c r="L131" s="10">
        <v>16.471045614035088</v>
      </c>
      <c r="M131" s="10">
        <v>25.214468448000009</v>
      </c>
      <c r="N131" s="11">
        <v>1.4999999999999999E-2</v>
      </c>
      <c r="O131" s="12">
        <v>2.5899999999999999E-2</v>
      </c>
      <c r="P131" s="11">
        <v>3.6400000000000002E-2</v>
      </c>
      <c r="Q131" s="35">
        <v>63.91723794834104</v>
      </c>
      <c r="R131" s="12">
        <v>0.19595108671817602</v>
      </c>
      <c r="S131" s="10">
        <v>0</v>
      </c>
      <c r="T131" s="10">
        <v>0</v>
      </c>
      <c r="U131" s="22">
        <v>1</v>
      </c>
      <c r="V131" s="10">
        <v>53</v>
      </c>
      <c r="W131" s="10">
        <v>4.8928464000000016</v>
      </c>
      <c r="X131" s="40">
        <v>132.31873194646542</v>
      </c>
      <c r="Y131" s="39">
        <v>2.4965798480465176</v>
      </c>
      <c r="Z131" s="15">
        <v>0.67031052246397937</v>
      </c>
      <c r="AA131" s="10">
        <v>43.624093603658949</v>
      </c>
      <c r="AB131" s="10">
        <v>476.06442000000015</v>
      </c>
      <c r="AC131" s="43">
        <v>0.68517987544626835</v>
      </c>
      <c r="AD131" s="43">
        <v>5.0023937558277547E-2</v>
      </c>
      <c r="AE131" s="44">
        <v>9298.2456140350878</v>
      </c>
      <c r="AF131" s="10">
        <v>7172.7999999999984</v>
      </c>
      <c r="AG131" s="10">
        <v>6520.6734200000001</v>
      </c>
      <c r="AH131" s="12">
        <v>5.0023937558277547E-2</v>
      </c>
      <c r="AI131" s="10">
        <v>27153.047989623865</v>
      </c>
      <c r="AJ131" s="10">
        <v>16471.045614035087</v>
      </c>
      <c r="AK131" s="5" t="s">
        <v>130</v>
      </c>
      <c r="AL131" s="5" t="s">
        <v>130</v>
      </c>
      <c r="AM131" s="4" t="s">
        <v>134</v>
      </c>
    </row>
    <row r="132" spans="1:39" x14ac:dyDescent="0.35">
      <c r="A132" s="5" t="s">
        <v>108</v>
      </c>
      <c r="B132" s="9" t="str">
        <f>VLOOKUP(D132,Auxiliar!A:C,2,0)</f>
        <v>SP SuperVille</v>
      </c>
      <c r="C132" s="5" t="str">
        <f>VLOOKUP(D132,Auxiliar!A:C,3,0)</f>
        <v>Julliano</v>
      </c>
      <c r="D132" s="9" t="s">
        <v>21</v>
      </c>
      <c r="E132" s="16">
        <v>0</v>
      </c>
      <c r="F132" s="24">
        <v>0</v>
      </c>
      <c r="G132" s="53">
        <v>0</v>
      </c>
      <c r="H132" s="10">
        <v>0</v>
      </c>
      <c r="I132" s="10">
        <v>1.6755205133456208</v>
      </c>
      <c r="J132" s="10">
        <v>0</v>
      </c>
      <c r="K132" s="10">
        <v>1.0246433203631649</v>
      </c>
      <c r="L132" s="10">
        <v>0.65087719298245605</v>
      </c>
      <c r="M132" s="10">
        <v>0</v>
      </c>
      <c r="N132" s="11">
        <v>0</v>
      </c>
      <c r="O132" s="12">
        <v>2.5899999999999999E-2</v>
      </c>
      <c r="P132" s="11">
        <v>3.6400000000000002E-2</v>
      </c>
      <c r="Q132" s="35">
        <v>-1.6755205133456208</v>
      </c>
      <c r="R132" s="12">
        <v>0</v>
      </c>
      <c r="S132" s="10">
        <v>0</v>
      </c>
      <c r="T132" s="10">
        <v>0</v>
      </c>
      <c r="U132" s="22">
        <v>1</v>
      </c>
      <c r="V132" s="10">
        <v>2</v>
      </c>
      <c r="W132" s="10">
        <v>0</v>
      </c>
      <c r="X132" s="40">
        <v>1.7868406882218415</v>
      </c>
      <c r="Y132" s="39">
        <v>0.89342034411092075</v>
      </c>
      <c r="Z132" s="15">
        <v>6.2300000000000001E-2</v>
      </c>
      <c r="AA132" s="10">
        <v>1.6755205133456208</v>
      </c>
      <c r="AB132" s="10">
        <v>476.06442000000015</v>
      </c>
      <c r="AC132" s="43">
        <v>0</v>
      </c>
      <c r="AD132" s="43">
        <v>0</v>
      </c>
      <c r="AE132" s="44">
        <v>350.87719298245617</v>
      </c>
      <c r="AF132" s="10">
        <v>300</v>
      </c>
      <c r="AG132" s="10">
        <v>6520.6734200000001</v>
      </c>
      <c r="AH132" s="12">
        <v>0</v>
      </c>
      <c r="AI132" s="10">
        <v>1024.6433203631648</v>
      </c>
      <c r="AJ132" s="10">
        <v>650.87719298245611</v>
      </c>
      <c r="AK132" s="5" t="s">
        <v>130</v>
      </c>
      <c r="AL132" s="5" t="s">
        <v>130</v>
      </c>
      <c r="AM132" s="4" t="s">
        <v>134</v>
      </c>
    </row>
    <row r="133" spans="1:39" x14ac:dyDescent="0.35">
      <c r="A133" s="5" t="s">
        <v>108</v>
      </c>
      <c r="B133" s="9" t="str">
        <f>VLOOKUP(D133,Auxiliar!A:C,2,0)</f>
        <v>SP ZAFFARI</v>
      </c>
      <c r="C133" s="5" t="str">
        <f>VLOOKUP(D133,Auxiliar!A:C,3,0)</f>
        <v>Julliano</v>
      </c>
      <c r="D133" s="9" t="s">
        <v>53</v>
      </c>
      <c r="E133" s="16">
        <v>0.58299148606811158</v>
      </c>
      <c r="F133" s="24">
        <v>20.672000000000001</v>
      </c>
      <c r="G133" s="53">
        <v>0</v>
      </c>
      <c r="H133" s="10">
        <v>20.672000000000001</v>
      </c>
      <c r="I133" s="10">
        <v>17.422186113345624</v>
      </c>
      <c r="J133" s="10">
        <v>12.051600000000002</v>
      </c>
      <c r="K133" s="10">
        <v>1.0246433203631649</v>
      </c>
      <c r="L133" s="10">
        <v>0.99087719298245613</v>
      </c>
      <c r="M133" s="10">
        <v>3.3550656000000001</v>
      </c>
      <c r="N133" s="11">
        <v>0.1</v>
      </c>
      <c r="O133" s="12">
        <v>2.5899999999999999E-2</v>
      </c>
      <c r="P133" s="11">
        <v>3.6400000000000002E-2</v>
      </c>
      <c r="Q133" s="35">
        <v>3.2498138866543762</v>
      </c>
      <c r="R133" s="12">
        <v>0.15720848909899265</v>
      </c>
      <c r="S133" s="10">
        <v>0</v>
      </c>
      <c r="T133" s="10">
        <v>0</v>
      </c>
      <c r="U133" s="22">
        <v>1</v>
      </c>
      <c r="V133" s="10">
        <v>2</v>
      </c>
      <c r="W133" s="10">
        <v>2.0672000000000001</v>
      </c>
      <c r="X133" s="40">
        <v>7.913047279937377</v>
      </c>
      <c r="Y133" s="39">
        <v>3.9565236399686885</v>
      </c>
      <c r="Z133" s="15">
        <v>0.74529148606811157</v>
      </c>
      <c r="AA133" s="10">
        <v>2.0155205133456211</v>
      </c>
      <c r="AB133" s="10">
        <v>476.06442000000015</v>
      </c>
      <c r="AC133" s="43">
        <v>4.3422694768913826E-2</v>
      </c>
      <c r="AD133" s="43">
        <v>3.1702247097049065E-3</v>
      </c>
      <c r="AE133" s="44">
        <v>350.87719298245617</v>
      </c>
      <c r="AF133" s="10">
        <v>640</v>
      </c>
      <c r="AG133" s="10">
        <v>6520.6734200000001</v>
      </c>
      <c r="AH133" s="12">
        <v>3.1702247097049065E-3</v>
      </c>
      <c r="AI133" s="10">
        <v>1024.6433203631648</v>
      </c>
      <c r="AJ133" s="10">
        <v>990.87719298245611</v>
      </c>
      <c r="AK133" s="5" t="s">
        <v>130</v>
      </c>
      <c r="AL133" s="5" t="s">
        <v>130</v>
      </c>
      <c r="AM133" s="4" t="s">
        <v>134</v>
      </c>
    </row>
    <row r="134" spans="1:39" x14ac:dyDescent="0.35">
      <c r="A134" s="5" t="s">
        <v>108</v>
      </c>
      <c r="B134" s="9" t="str">
        <f>VLOOKUP(D134,Auxiliar!A:C,2,0)</f>
        <v>PR FESTVAL</v>
      </c>
      <c r="C134" s="5" t="str">
        <f>VLOOKUP(D134,Auxiliar!A:C,3,0)</f>
        <v>Leandro</v>
      </c>
      <c r="D134" s="9" t="s">
        <v>45</v>
      </c>
      <c r="E134" s="16">
        <v>0.46895128300037953</v>
      </c>
      <c r="F134" s="24">
        <v>1001.7612000000004</v>
      </c>
      <c r="G134" s="53">
        <v>157.22633000000002</v>
      </c>
      <c r="H134" s="10">
        <v>844.53487000000041</v>
      </c>
      <c r="I134" s="10">
        <v>654.39107459608522</v>
      </c>
      <c r="J134" s="10">
        <v>469.77719999999999</v>
      </c>
      <c r="K134" s="10">
        <v>17.931258106355383</v>
      </c>
      <c r="L134" s="10">
        <v>34.149609729729725</v>
      </c>
      <c r="M134" s="10">
        <v>132.53300676000009</v>
      </c>
      <c r="N134" s="11">
        <v>7.0000000000000007E-2</v>
      </c>
      <c r="O134" s="12">
        <v>2.5899999999999999E-2</v>
      </c>
      <c r="P134" s="11">
        <v>3.6400000000000002E-2</v>
      </c>
      <c r="Q134" s="35">
        <v>190.14379540391519</v>
      </c>
      <c r="R134" s="12">
        <v>0.22514617472682341</v>
      </c>
      <c r="S134" s="10">
        <v>73.731489174941075</v>
      </c>
      <c r="T134" s="10">
        <v>0.15694990981882703</v>
      </c>
      <c r="U134" s="22">
        <v>1</v>
      </c>
      <c r="V134" s="10">
        <v>35</v>
      </c>
      <c r="W134" s="10">
        <v>70.123284000000027</v>
      </c>
      <c r="X134" s="40">
        <v>524.91002205853965</v>
      </c>
      <c r="Y134" s="39">
        <v>14.997429201672562</v>
      </c>
      <c r="Z134" s="15">
        <v>0.60125128300037955</v>
      </c>
      <c r="AA134" s="10">
        <v>52.080867836085105</v>
      </c>
      <c r="AB134" s="10">
        <v>3566.4392600000001</v>
      </c>
      <c r="AC134" s="43">
        <v>0.28088553511493153</v>
      </c>
      <c r="AD134" s="43">
        <v>0.15362848826739745</v>
      </c>
      <c r="AE134" s="44">
        <v>4729.7297297297291</v>
      </c>
      <c r="AF134" s="10">
        <v>29419.879999999997</v>
      </c>
      <c r="AG134" s="10">
        <v>6520.6734200000001</v>
      </c>
      <c r="AH134" s="12">
        <v>0.15362848826739745</v>
      </c>
      <c r="AI134" s="10">
        <v>17931.258106355384</v>
      </c>
      <c r="AJ134" s="10">
        <v>34149.609729729724</v>
      </c>
      <c r="AK134" s="5" t="s">
        <v>22</v>
      </c>
      <c r="AL134" s="5" t="s">
        <v>22</v>
      </c>
      <c r="AM134" s="4" t="s">
        <v>134</v>
      </c>
    </row>
    <row r="135" spans="1:39" x14ac:dyDescent="0.35">
      <c r="A135" s="5" t="s">
        <v>108</v>
      </c>
      <c r="B135" s="9" t="str">
        <f>VLOOKUP(D135,Auxiliar!A:C,2,0)</f>
        <v>RS Supermercado Apolo</v>
      </c>
      <c r="C135" s="5" t="str">
        <f>VLOOKUP(D135,Auxiliar!A:C,3,0)</f>
        <v>Luisa</v>
      </c>
      <c r="D135" s="9" t="s">
        <v>116</v>
      </c>
      <c r="E135" s="16">
        <v>0</v>
      </c>
      <c r="F135" s="24">
        <v>0</v>
      </c>
      <c r="G135" s="53">
        <v>0</v>
      </c>
      <c r="H135" s="10">
        <v>0</v>
      </c>
      <c r="I135" s="10">
        <v>0.64219179005171223</v>
      </c>
      <c r="J135" s="10">
        <v>0</v>
      </c>
      <c r="K135" s="10">
        <v>0.51232166018158243</v>
      </c>
      <c r="L135" s="10">
        <v>0.12987012987012986</v>
      </c>
      <c r="M135" s="10">
        <v>0</v>
      </c>
      <c r="N135" s="11">
        <v>0</v>
      </c>
      <c r="O135" s="12">
        <v>2.5899999999999999E-2</v>
      </c>
      <c r="P135" s="11">
        <v>3.6400000000000002E-2</v>
      </c>
      <c r="Q135" s="35">
        <v>-0.64219179005171223</v>
      </c>
      <c r="R135" s="12">
        <v>0</v>
      </c>
      <c r="S135" s="10">
        <v>0</v>
      </c>
      <c r="T135" s="10">
        <v>0</v>
      </c>
      <c r="U135" s="22">
        <v>1</v>
      </c>
      <c r="V135" s="10">
        <v>1</v>
      </c>
      <c r="W135" s="10">
        <v>0</v>
      </c>
      <c r="X135" s="40">
        <v>0.68485847291427138</v>
      </c>
      <c r="Y135" s="39">
        <v>0.68485847291427138</v>
      </c>
      <c r="Z135" s="15">
        <v>6.2300000000000001E-2</v>
      </c>
      <c r="AA135" s="10">
        <v>0.64219179005171223</v>
      </c>
      <c r="AB135" s="10">
        <v>244.51567999999992</v>
      </c>
      <c r="AC135" s="43">
        <v>0</v>
      </c>
      <c r="AD135" s="43">
        <v>0</v>
      </c>
      <c r="AE135" s="44">
        <v>129.87012987012986</v>
      </c>
      <c r="AF135" s="10">
        <v>0</v>
      </c>
      <c r="AG135" s="10">
        <v>6520.6734200000001</v>
      </c>
      <c r="AH135" s="12">
        <v>0</v>
      </c>
      <c r="AI135" s="10">
        <v>512.32166018158239</v>
      </c>
      <c r="AJ135" s="10">
        <v>129.87012987012986</v>
      </c>
      <c r="AK135" s="5" t="s">
        <v>113</v>
      </c>
      <c r="AL135" s="5" t="s">
        <v>113</v>
      </c>
      <c r="AM135" s="4" t="s">
        <v>134</v>
      </c>
    </row>
    <row r="136" spans="1:39" x14ac:dyDescent="0.35">
      <c r="A136" s="5" t="s">
        <v>108</v>
      </c>
      <c r="B136" s="9" t="str">
        <f>VLOOKUP(D136,Auxiliar!A:C,2,0)</f>
        <v>RS ZAFFARI</v>
      </c>
      <c r="C136" s="5" t="str">
        <f>VLOOKUP(D136,Auxiliar!A:C,3,0)</f>
        <v>Leandro</v>
      </c>
      <c r="D136" s="9" t="s">
        <v>24</v>
      </c>
      <c r="E136" s="16">
        <v>0.60591779421079539</v>
      </c>
      <c r="F136" s="24">
        <v>1048.296</v>
      </c>
      <c r="G136" s="53">
        <v>0</v>
      </c>
      <c r="H136" s="10">
        <v>1048.296</v>
      </c>
      <c r="I136" s="10">
        <v>858.80106261266872</v>
      </c>
      <c r="J136" s="10">
        <v>635.18119999999999</v>
      </c>
      <c r="K136" s="10">
        <v>20.492866407263296</v>
      </c>
      <c r="L136" s="10">
        <v>32.988555405405407</v>
      </c>
      <c r="M136" s="10">
        <v>170.13844080000001</v>
      </c>
      <c r="N136" s="11">
        <v>0.1</v>
      </c>
      <c r="O136" s="12">
        <v>2.5899999999999999E-2</v>
      </c>
      <c r="P136" s="11">
        <v>3.6400000000000002E-2</v>
      </c>
      <c r="Q136" s="35">
        <v>189.49493738733133</v>
      </c>
      <c r="R136" s="12">
        <v>0.1807647242642644</v>
      </c>
      <c r="S136" s="10">
        <v>0</v>
      </c>
      <c r="T136" s="10">
        <v>0</v>
      </c>
      <c r="U136" s="22">
        <v>1</v>
      </c>
      <c r="V136" s="10">
        <v>40</v>
      </c>
      <c r="W136" s="10">
        <v>104.82960000000001</v>
      </c>
      <c r="X136" s="40">
        <v>230.73998122749606</v>
      </c>
      <c r="Y136" s="39">
        <v>5.7684995306874018</v>
      </c>
      <c r="Z136" s="15">
        <v>0.76821779421079539</v>
      </c>
      <c r="AA136" s="10">
        <v>53.4814218126687</v>
      </c>
      <c r="AB136" s="10">
        <v>3566.4392600000001</v>
      </c>
      <c r="AC136" s="43">
        <v>0.29393350722591588</v>
      </c>
      <c r="AD136" s="43">
        <v>0.16076499043560444</v>
      </c>
      <c r="AE136" s="44">
        <v>5405.405405405405</v>
      </c>
      <c r="AF136" s="10">
        <v>27583.15</v>
      </c>
      <c r="AG136" s="10">
        <v>6520.6734200000001</v>
      </c>
      <c r="AH136" s="12">
        <v>0.16076499043560444</v>
      </c>
      <c r="AI136" s="10">
        <v>20492.866407263296</v>
      </c>
      <c r="AJ136" s="10">
        <v>32988.555405405408</v>
      </c>
      <c r="AK136" s="5" t="s">
        <v>22</v>
      </c>
      <c r="AL136" s="5" t="s">
        <v>22</v>
      </c>
      <c r="AM136" s="4" t="s">
        <v>134</v>
      </c>
    </row>
    <row r="137" spans="1:39" x14ac:dyDescent="0.35">
      <c r="A137" s="5" t="s">
        <v>108</v>
      </c>
      <c r="B137" s="9" t="str">
        <f>VLOOKUP(D137,Auxiliar!A:C,2,0)</f>
        <v>SC ANGELONI</v>
      </c>
      <c r="C137" s="5" t="str">
        <f>VLOOKUP(D137,Auxiliar!A:C,3,0)</f>
        <v>Leandro</v>
      </c>
      <c r="D137" s="9" t="s">
        <v>23</v>
      </c>
      <c r="E137" s="16">
        <v>0.48599347327833015</v>
      </c>
      <c r="F137" s="24">
        <v>911.55718000000013</v>
      </c>
      <c r="G137" s="53">
        <v>5.52982</v>
      </c>
      <c r="H137" s="10">
        <v>906.02736000000016</v>
      </c>
      <c r="I137" s="10">
        <v>635.06395995008518</v>
      </c>
      <c r="J137" s="10">
        <v>443.01084000000003</v>
      </c>
      <c r="K137" s="10">
        <v>17.931258106355383</v>
      </c>
      <c r="L137" s="10">
        <v>17.060559729729729</v>
      </c>
      <c r="M137" s="10">
        <v>157.06130211400003</v>
      </c>
      <c r="N137" s="11">
        <v>0.11</v>
      </c>
      <c r="O137" s="12">
        <v>2.5899999999999999E-2</v>
      </c>
      <c r="P137" s="11">
        <v>3.6400000000000002E-2</v>
      </c>
      <c r="Q137" s="35">
        <v>270.96340004991498</v>
      </c>
      <c r="R137" s="12">
        <v>0.29906756905212545</v>
      </c>
      <c r="S137" s="10">
        <v>2.6874564284039755</v>
      </c>
      <c r="T137" s="10">
        <v>6.0663446257973623E-3</v>
      </c>
      <c r="U137" s="22">
        <v>1</v>
      </c>
      <c r="V137" s="10">
        <v>35</v>
      </c>
      <c r="W137" s="10">
        <v>100.27128980000002</v>
      </c>
      <c r="X137" s="40">
        <v>118.58608094158876</v>
      </c>
      <c r="Y137" s="39">
        <v>3.3881737411882504</v>
      </c>
      <c r="Z137" s="15">
        <v>0.6582934732783301</v>
      </c>
      <c r="AA137" s="10">
        <v>34.991817836085112</v>
      </c>
      <c r="AB137" s="10">
        <v>3566.4392600000001</v>
      </c>
      <c r="AC137" s="43">
        <v>0.25559307576711682</v>
      </c>
      <c r="AD137" s="43">
        <v>0.13979494467612827</v>
      </c>
      <c r="AE137" s="44">
        <v>4729.7297297297291</v>
      </c>
      <c r="AF137" s="10">
        <v>12330.83</v>
      </c>
      <c r="AG137" s="10">
        <v>6520.6734200000001</v>
      </c>
      <c r="AH137" s="12">
        <v>0.13979494467612827</v>
      </c>
      <c r="AI137" s="10">
        <v>17931.258106355384</v>
      </c>
      <c r="AJ137" s="10">
        <v>17060.559729729728</v>
      </c>
      <c r="AK137" s="5" t="s">
        <v>22</v>
      </c>
      <c r="AL137" s="5" t="s">
        <v>22</v>
      </c>
      <c r="AM137" s="4" t="s">
        <v>134</v>
      </c>
    </row>
    <row r="138" spans="1:39" x14ac:dyDescent="0.35">
      <c r="A138" s="5" t="s">
        <v>108</v>
      </c>
      <c r="B138" s="9" t="str">
        <f>VLOOKUP(D138,Auxiliar!A:C,2,0)</f>
        <v>SC BISTEK</v>
      </c>
      <c r="C138" s="5" t="str">
        <f>VLOOKUP(D138,Auxiliar!A:C,3,0)</f>
        <v>Leandro</v>
      </c>
      <c r="D138" s="9" t="s">
        <v>25</v>
      </c>
      <c r="E138" s="16">
        <v>0.55074131111331404</v>
      </c>
      <c r="F138" s="24">
        <v>214.86930000000001</v>
      </c>
      <c r="G138" s="53">
        <v>0</v>
      </c>
      <c r="H138" s="10">
        <v>214.86930000000001</v>
      </c>
      <c r="I138" s="10">
        <v>164.89431138696781</v>
      </c>
      <c r="J138" s="10">
        <v>118.33740000000002</v>
      </c>
      <c r="K138" s="10">
        <v>11.271076523994813</v>
      </c>
      <c r="L138" s="10">
        <v>7.9329729729729737</v>
      </c>
      <c r="M138" s="10">
        <v>27.352861890000007</v>
      </c>
      <c r="N138" s="11">
        <v>6.5000000000000002E-2</v>
      </c>
      <c r="O138" s="12">
        <v>2.5899999999999999E-2</v>
      </c>
      <c r="P138" s="11">
        <v>3.6400000000000002E-2</v>
      </c>
      <c r="Q138" s="35">
        <v>49.974988613032195</v>
      </c>
      <c r="R138" s="12">
        <v>0.2325831964502709</v>
      </c>
      <c r="S138" s="10">
        <v>0</v>
      </c>
      <c r="T138" s="10">
        <v>0</v>
      </c>
      <c r="U138" s="22">
        <v>1</v>
      </c>
      <c r="V138" s="10">
        <v>22</v>
      </c>
      <c r="W138" s="10">
        <v>13.966504500000001</v>
      </c>
      <c r="X138" s="40">
        <v>59.647557776354027</v>
      </c>
      <c r="Y138" s="39">
        <v>2.7112526261979104</v>
      </c>
      <c r="Z138" s="15">
        <v>0.67804131111331412</v>
      </c>
      <c r="AA138" s="10">
        <v>19.204049496967787</v>
      </c>
      <c r="AB138" s="10">
        <v>3566.4392600000001</v>
      </c>
      <c r="AC138" s="43">
        <v>6.0247570289476908E-2</v>
      </c>
      <c r="AD138" s="43">
        <v>3.2952010652911985E-2</v>
      </c>
      <c r="AE138" s="44">
        <v>2972.9729729729729</v>
      </c>
      <c r="AF138" s="10">
        <v>4960</v>
      </c>
      <c r="AG138" s="10">
        <v>6520.6734200000001</v>
      </c>
      <c r="AH138" s="12">
        <v>3.2952010652911985E-2</v>
      </c>
      <c r="AI138" s="10">
        <v>11271.076523994812</v>
      </c>
      <c r="AJ138" s="10">
        <v>7932.9729729729734</v>
      </c>
      <c r="AK138" s="5" t="s">
        <v>22</v>
      </c>
      <c r="AL138" s="5" t="s">
        <v>22</v>
      </c>
      <c r="AM138" s="4" t="s">
        <v>134</v>
      </c>
    </row>
    <row r="139" spans="1:39" x14ac:dyDescent="0.35">
      <c r="A139" s="5" t="s">
        <v>108</v>
      </c>
      <c r="B139" s="9" t="str">
        <f>VLOOKUP(D139,Auxiliar!A:C,2,0)</f>
        <v>SC BRASIL ATACADISTA</v>
      </c>
      <c r="C139" s="5" t="str">
        <f>VLOOKUP(D139,Auxiliar!A:C,3,0)</f>
        <v>Leandro</v>
      </c>
      <c r="D139" s="9" t="s">
        <v>125</v>
      </c>
      <c r="E139" s="16">
        <v>0</v>
      </c>
      <c r="F139" s="24">
        <v>0</v>
      </c>
      <c r="G139" s="53">
        <v>0</v>
      </c>
      <c r="H139" s="10">
        <v>0</v>
      </c>
      <c r="I139" s="10">
        <v>0</v>
      </c>
      <c r="J139" s="10">
        <v>0</v>
      </c>
      <c r="K139" s="10">
        <v>0</v>
      </c>
      <c r="L139" s="10">
        <v>0</v>
      </c>
      <c r="M139" s="10">
        <v>0</v>
      </c>
      <c r="N139" s="11">
        <v>0</v>
      </c>
      <c r="O139" s="12">
        <v>2.5899999999999999E-2</v>
      </c>
      <c r="P139" s="11">
        <v>3.6400000000000002E-2</v>
      </c>
      <c r="Q139" s="35">
        <v>0</v>
      </c>
      <c r="R139" s="12">
        <v>0</v>
      </c>
      <c r="S139" s="10">
        <v>0</v>
      </c>
      <c r="T139" s="10">
        <v>0</v>
      </c>
      <c r="U139" s="22">
        <v>1</v>
      </c>
      <c r="V139" s="10">
        <v>0</v>
      </c>
      <c r="W139" s="10">
        <v>0</v>
      </c>
      <c r="X139" s="40">
        <v>0</v>
      </c>
      <c r="Y139" s="39">
        <v>0</v>
      </c>
      <c r="Z139" s="15">
        <v>6.2300000000000001E-2</v>
      </c>
      <c r="AA139" s="10">
        <v>0</v>
      </c>
      <c r="AB139" s="10">
        <v>3566.4392600000001</v>
      </c>
      <c r="AC139" s="43">
        <v>0</v>
      </c>
      <c r="AD139" s="43">
        <v>0</v>
      </c>
      <c r="AE139" s="44">
        <v>0</v>
      </c>
      <c r="AF139" s="10">
        <v>0</v>
      </c>
      <c r="AG139" s="10">
        <v>6520.6734200000001</v>
      </c>
      <c r="AH139" s="12">
        <v>0</v>
      </c>
      <c r="AI139" s="10">
        <v>0</v>
      </c>
      <c r="AJ139" s="10">
        <v>0</v>
      </c>
      <c r="AK139" s="5" t="s">
        <v>22</v>
      </c>
      <c r="AL139" s="5" t="s">
        <v>22</v>
      </c>
      <c r="AM139" s="4" t="s">
        <v>134</v>
      </c>
    </row>
    <row r="140" spans="1:39" x14ac:dyDescent="0.35">
      <c r="A140" s="5" t="s">
        <v>108</v>
      </c>
      <c r="B140" s="9" t="str">
        <f>VLOOKUP(D140,Auxiliar!A:C,2,0)</f>
        <v>SC FORT</v>
      </c>
      <c r="C140" s="5" t="str">
        <f>VLOOKUP(D140,Auxiliar!A:C,3,0)</f>
        <v>Leandro</v>
      </c>
      <c r="D140" s="9" t="s">
        <v>26</v>
      </c>
      <c r="E140" s="16">
        <v>0.52856385797562278</v>
      </c>
      <c r="F140" s="24">
        <v>128.31599999999997</v>
      </c>
      <c r="G140" s="53">
        <v>21.3887</v>
      </c>
      <c r="H140" s="10">
        <v>106.92729999999997</v>
      </c>
      <c r="I140" s="10">
        <v>108.87214668291793</v>
      </c>
      <c r="J140" s="10">
        <v>67.8232</v>
      </c>
      <c r="K140" s="10">
        <v>12.80804150453956</v>
      </c>
      <c r="L140" s="10">
        <v>8.6983783783783775</v>
      </c>
      <c r="M140" s="10">
        <v>19.542526799999994</v>
      </c>
      <c r="N140" s="11">
        <v>0.09</v>
      </c>
      <c r="O140" s="12">
        <v>2.5899999999999999E-2</v>
      </c>
      <c r="P140" s="11">
        <v>3.6400000000000002E-2</v>
      </c>
      <c r="Q140" s="35">
        <v>-1.9448466829179551</v>
      </c>
      <c r="R140" s="12">
        <v>-1.8188495201112865E-2</v>
      </c>
      <c r="S140" s="10">
        <v>11.305293789083203</v>
      </c>
      <c r="T140" s="10">
        <v>0.16668770846971542</v>
      </c>
      <c r="U140" s="22">
        <v>1</v>
      </c>
      <c r="V140" s="10">
        <v>25</v>
      </c>
      <c r="W140" s="10">
        <v>11.548439999999998</v>
      </c>
      <c r="X140" s="40">
        <v>134.41009724195197</v>
      </c>
      <c r="Y140" s="39">
        <v>5.3764038896780786</v>
      </c>
      <c r="Z140" s="15">
        <v>0.68086385797562277</v>
      </c>
      <c r="AA140" s="10">
        <v>21.506419882917939</v>
      </c>
      <c r="AB140" s="10">
        <v>3566.4392600000001</v>
      </c>
      <c r="AC140" s="43">
        <v>3.5978742562406622E-2</v>
      </c>
      <c r="AD140" s="43">
        <v>1.9678335615832755E-2</v>
      </c>
      <c r="AE140" s="44">
        <v>3378.3783783783783</v>
      </c>
      <c r="AF140" s="10">
        <v>5320</v>
      </c>
      <c r="AG140" s="10">
        <v>6520.6734200000001</v>
      </c>
      <c r="AH140" s="12">
        <v>1.9678335615832755E-2</v>
      </c>
      <c r="AI140" s="10">
        <v>12808.04150453956</v>
      </c>
      <c r="AJ140" s="10">
        <v>8698.3783783783783</v>
      </c>
      <c r="AK140" s="5" t="s">
        <v>22</v>
      </c>
      <c r="AL140" s="5" t="s">
        <v>22</v>
      </c>
      <c r="AM140" s="4" t="s">
        <v>134</v>
      </c>
    </row>
    <row r="141" spans="1:39" x14ac:dyDescent="0.35">
      <c r="A141" s="5" t="s">
        <v>108</v>
      </c>
      <c r="B141" s="9" t="str">
        <f>VLOOKUP(D141,Auxiliar!A:C,2,0)</f>
        <v>SC HIPERBOM / HIPERSELECT</v>
      </c>
      <c r="C141" s="5" t="str">
        <f>VLOOKUP(D141,Auxiliar!A:C,3,0)</f>
        <v>Leandro</v>
      </c>
      <c r="D141" s="9" t="s">
        <v>27</v>
      </c>
      <c r="E141" s="16">
        <v>0.5437514263242047</v>
      </c>
      <c r="F141" s="24">
        <v>28.657579999999999</v>
      </c>
      <c r="G141" s="53">
        <v>9.6873299999999993</v>
      </c>
      <c r="H141" s="10">
        <v>18.97025</v>
      </c>
      <c r="I141" s="10">
        <v>27.075414187167176</v>
      </c>
      <c r="J141" s="10">
        <v>15.582600000000001</v>
      </c>
      <c r="K141" s="10">
        <v>5.1232166018158241</v>
      </c>
      <c r="L141" s="10">
        <v>3.1513513513513511</v>
      </c>
      <c r="M141" s="10">
        <v>3.218246234</v>
      </c>
      <c r="N141" s="11">
        <v>0.05</v>
      </c>
      <c r="O141" s="12">
        <v>2.5899999999999999E-2</v>
      </c>
      <c r="P141" s="11">
        <v>3.6400000000000002E-2</v>
      </c>
      <c r="Q141" s="35">
        <v>-8.1051641871671762</v>
      </c>
      <c r="R141" s="12">
        <v>-0.42725658265796057</v>
      </c>
      <c r="S141" s="10">
        <v>5.2674995047732578</v>
      </c>
      <c r="T141" s="10">
        <v>0.33803726623113323</v>
      </c>
      <c r="U141" s="22">
        <v>1</v>
      </c>
      <c r="V141" s="10">
        <v>10</v>
      </c>
      <c r="W141" s="10">
        <v>1.432879</v>
      </c>
      <c r="X141" s="40">
        <v>52.222626659583106</v>
      </c>
      <c r="Y141" s="39">
        <v>5.2222626659583105</v>
      </c>
      <c r="Z141" s="15">
        <v>0.65605142632420466</v>
      </c>
      <c r="AA141" s="10">
        <v>8.2745679531671747</v>
      </c>
      <c r="AB141" s="10">
        <v>3566.4392600000001</v>
      </c>
      <c r="AC141" s="43">
        <v>8.0353478387852877E-3</v>
      </c>
      <c r="AD141" s="43">
        <v>4.394880429389761E-3</v>
      </c>
      <c r="AE141" s="44">
        <v>1351.3513513513512</v>
      </c>
      <c r="AF141" s="10">
        <v>1800</v>
      </c>
      <c r="AG141" s="10">
        <v>6520.6734200000001</v>
      </c>
      <c r="AH141" s="12">
        <v>4.394880429389761E-3</v>
      </c>
      <c r="AI141" s="10">
        <v>5123.2166018158241</v>
      </c>
      <c r="AJ141" s="10">
        <v>3151.3513513513512</v>
      </c>
      <c r="AK141" s="5" t="s">
        <v>22</v>
      </c>
      <c r="AL141" s="5" t="s">
        <v>22</v>
      </c>
      <c r="AM141" s="4" t="s">
        <v>134</v>
      </c>
    </row>
    <row r="142" spans="1:39" x14ac:dyDescent="0.35">
      <c r="A142" s="5" t="s">
        <v>108</v>
      </c>
      <c r="B142" s="9" t="str">
        <f>VLOOKUP(D142,Auxiliar!A:C,2,0)</f>
        <v>SC IMPERATRIZ</v>
      </c>
      <c r="C142" s="5" t="str">
        <f>VLOOKUP(D142,Auxiliar!A:C,3,0)</f>
        <v>Leandro</v>
      </c>
      <c r="D142" s="9" t="s">
        <v>28</v>
      </c>
      <c r="E142" s="16">
        <v>0.58060536865508927</v>
      </c>
      <c r="F142" s="24">
        <v>232.98200000000003</v>
      </c>
      <c r="G142" s="53">
        <v>0</v>
      </c>
      <c r="H142" s="10">
        <v>232.98200000000003</v>
      </c>
      <c r="I142" s="10">
        <v>181.29834091570095</v>
      </c>
      <c r="J142" s="10">
        <v>135.27060000000003</v>
      </c>
      <c r="K142" s="10">
        <v>9.2217898832684817</v>
      </c>
      <c r="L142" s="10">
        <v>5.9824324324324323</v>
      </c>
      <c r="M142" s="10">
        <v>30.823518600000011</v>
      </c>
      <c r="N142" s="11">
        <v>7.0000000000000007E-2</v>
      </c>
      <c r="O142" s="12">
        <v>2.5899999999999999E-2</v>
      </c>
      <c r="P142" s="11">
        <v>3.6400000000000002E-2</v>
      </c>
      <c r="Q142" s="35">
        <v>51.68365908429908</v>
      </c>
      <c r="R142" s="12">
        <v>0.22183541683176844</v>
      </c>
      <c r="S142" s="10">
        <v>0</v>
      </c>
      <c r="T142" s="10">
        <v>0</v>
      </c>
      <c r="U142" s="22">
        <v>1</v>
      </c>
      <c r="V142" s="10">
        <v>18</v>
      </c>
      <c r="W142" s="10">
        <v>16.308740000000004</v>
      </c>
      <c r="X142" s="40">
        <v>52.958922444755899</v>
      </c>
      <c r="Y142" s="39">
        <v>2.9421623580419944</v>
      </c>
      <c r="Z142" s="15">
        <v>0.71290536865508924</v>
      </c>
      <c r="AA142" s="10">
        <v>15.204222315700914</v>
      </c>
      <c r="AB142" s="10">
        <v>3566.4392600000001</v>
      </c>
      <c r="AC142" s="43">
        <v>6.5326221201367107E-2</v>
      </c>
      <c r="AD142" s="43">
        <v>3.5729745226222361E-2</v>
      </c>
      <c r="AE142" s="44">
        <v>2432.4324324324325</v>
      </c>
      <c r="AF142" s="10">
        <v>3550</v>
      </c>
      <c r="AG142" s="10">
        <v>6520.6734200000001</v>
      </c>
      <c r="AH142" s="12">
        <v>3.5729745226222361E-2</v>
      </c>
      <c r="AI142" s="10">
        <v>9221.7898832684823</v>
      </c>
      <c r="AJ142" s="10">
        <v>5982.4324324324325</v>
      </c>
      <c r="AK142" s="5" t="s">
        <v>22</v>
      </c>
      <c r="AL142" s="5" t="s">
        <v>22</v>
      </c>
      <c r="AM142" s="4" t="s">
        <v>134</v>
      </c>
    </row>
    <row r="143" spans="1:39" x14ac:dyDescent="0.35">
      <c r="A143" s="5" t="s">
        <v>108</v>
      </c>
      <c r="B143" s="9" t="str">
        <f>VLOOKUP(D143,Auxiliar!A:C,2,0)</f>
        <v>AC ARASUPER</v>
      </c>
      <c r="C143" s="5" t="str">
        <f>VLOOKUP(D143,Auxiliar!A:C,3,0)</f>
        <v>Luisa</v>
      </c>
      <c r="D143" s="9" t="s">
        <v>115</v>
      </c>
      <c r="E143" s="16">
        <v>0</v>
      </c>
      <c r="F143" s="24">
        <v>0</v>
      </c>
      <c r="G143" s="53">
        <v>0</v>
      </c>
      <c r="H143" s="10">
        <v>0</v>
      </c>
      <c r="I143" s="10">
        <v>1.2843835801034245</v>
      </c>
      <c r="J143" s="10">
        <v>0</v>
      </c>
      <c r="K143" s="10">
        <v>1.0246433203631649</v>
      </c>
      <c r="L143" s="10">
        <v>0.25974025974025972</v>
      </c>
      <c r="M143" s="10">
        <v>0</v>
      </c>
      <c r="N143" s="11">
        <v>0</v>
      </c>
      <c r="O143" s="12">
        <v>2.5899999999999999E-2</v>
      </c>
      <c r="P143" s="11">
        <v>3.6400000000000002E-2</v>
      </c>
      <c r="Q143" s="35">
        <v>-1.2843835801034245</v>
      </c>
      <c r="R143" s="12">
        <v>0</v>
      </c>
      <c r="S143" s="10">
        <v>0</v>
      </c>
      <c r="T143" s="10">
        <v>0</v>
      </c>
      <c r="U143" s="22">
        <v>1</v>
      </c>
      <c r="V143" s="10">
        <v>2</v>
      </c>
      <c r="W143" s="10">
        <v>0</v>
      </c>
      <c r="X143" s="40">
        <v>1.3697169458285428</v>
      </c>
      <c r="Y143" s="39">
        <v>0.68485847291427138</v>
      </c>
      <c r="Z143" s="15">
        <v>6.2300000000000001E-2</v>
      </c>
      <c r="AA143" s="10">
        <v>1.2843835801034245</v>
      </c>
      <c r="AB143" s="10">
        <v>244.51567999999992</v>
      </c>
      <c r="AC143" s="43">
        <v>0</v>
      </c>
      <c r="AD143" s="43">
        <v>0</v>
      </c>
      <c r="AE143" s="44">
        <v>259.74025974025972</v>
      </c>
      <c r="AF143" s="10">
        <v>0</v>
      </c>
      <c r="AG143" s="10">
        <v>6520.6734200000001</v>
      </c>
      <c r="AH143" s="12">
        <v>0</v>
      </c>
      <c r="AI143" s="10">
        <v>1024.6433203631648</v>
      </c>
      <c r="AJ143" s="10">
        <v>259.74025974025972</v>
      </c>
      <c r="AK143" s="5" t="s">
        <v>113</v>
      </c>
      <c r="AL143" s="5" t="s">
        <v>113</v>
      </c>
      <c r="AM143" s="4" t="s">
        <v>134</v>
      </c>
    </row>
    <row r="144" spans="1:39" x14ac:dyDescent="0.35">
      <c r="A144" s="5" t="s">
        <v>108</v>
      </c>
      <c r="B144" s="9" t="str">
        <f>VLOOKUP(D144,Auxiliar!A:C,2,0)</f>
        <v>AM Pátio Gourmet</v>
      </c>
      <c r="C144" s="5" t="str">
        <f>VLOOKUP(D144,Auxiliar!A:C,3,0)</f>
        <v>Luisa</v>
      </c>
      <c r="D144" s="9" t="s">
        <v>114</v>
      </c>
      <c r="E144" s="16">
        <v>0.50542430282112394</v>
      </c>
      <c r="F144" s="24">
        <v>19.748159999999999</v>
      </c>
      <c r="G144" s="53">
        <v>0</v>
      </c>
      <c r="H144" s="10">
        <v>19.748159999999999</v>
      </c>
      <c r="I144" s="10">
        <v>11.211510368000006</v>
      </c>
      <c r="J144" s="10">
        <v>9.9812000000000065</v>
      </c>
      <c r="K144" s="10">
        <v>0</v>
      </c>
      <c r="L144" s="10">
        <v>0</v>
      </c>
      <c r="M144" s="10">
        <v>1.230310368</v>
      </c>
      <c r="N144" s="11">
        <v>0</v>
      </c>
      <c r="O144" s="12">
        <v>2.5899999999999999E-2</v>
      </c>
      <c r="P144" s="11">
        <v>3.6400000000000002E-2</v>
      </c>
      <c r="Q144" s="35">
        <v>8.5366496319999925</v>
      </c>
      <c r="R144" s="12">
        <v>0.43227569717887604</v>
      </c>
      <c r="S144" s="10">
        <v>0</v>
      </c>
      <c r="T144" s="10">
        <v>0</v>
      </c>
      <c r="U144" s="22">
        <v>1</v>
      </c>
      <c r="V144" s="10">
        <v>0</v>
      </c>
      <c r="W144" s="10">
        <v>0</v>
      </c>
      <c r="X144" s="40">
        <v>0</v>
      </c>
      <c r="Y144" s="39">
        <v>0</v>
      </c>
      <c r="Z144" s="15">
        <v>0.56772430282112396</v>
      </c>
      <c r="AA144" s="10">
        <v>0</v>
      </c>
      <c r="AB144" s="10">
        <v>244.51567999999992</v>
      </c>
      <c r="AC144" s="43">
        <v>8.0764391060728719E-2</v>
      </c>
      <c r="AD144" s="43">
        <v>3.0285460914863602E-3</v>
      </c>
      <c r="AE144" s="44">
        <v>0</v>
      </c>
      <c r="AF144" s="10">
        <v>0</v>
      </c>
      <c r="AG144" s="10">
        <v>6520.6734200000001</v>
      </c>
      <c r="AH144" s="12">
        <v>3.0285460914863602E-3</v>
      </c>
      <c r="AI144" s="10">
        <v>0</v>
      </c>
      <c r="AJ144" s="10">
        <v>0</v>
      </c>
      <c r="AK144" s="5" t="s">
        <v>113</v>
      </c>
      <c r="AL144" s="5" t="s">
        <v>113</v>
      </c>
      <c r="AM144" s="4" t="s">
        <v>134</v>
      </c>
    </row>
    <row r="145" spans="1:39" x14ac:dyDescent="0.35">
      <c r="A145" s="5" t="s">
        <v>108</v>
      </c>
      <c r="B145" s="9" t="str">
        <f>VLOOKUP(D145,Auxiliar!A:C,2,0)</f>
        <v>DF EMPÓRIO PRIME</v>
      </c>
      <c r="C145" s="5" t="str">
        <f>VLOOKUP(D145,Auxiliar!A:C,3,0)</f>
        <v>Luisa</v>
      </c>
      <c r="D145" s="9" t="s">
        <v>7</v>
      </c>
      <c r="E145" s="16">
        <v>0</v>
      </c>
      <c r="F145" s="24">
        <v>0</v>
      </c>
      <c r="G145" s="53">
        <v>0</v>
      </c>
      <c r="H145" s="10">
        <v>0</v>
      </c>
      <c r="I145" s="10">
        <v>0.8421917900517123</v>
      </c>
      <c r="J145" s="10">
        <v>0</v>
      </c>
      <c r="K145" s="10">
        <v>0.51232166018158243</v>
      </c>
      <c r="L145" s="10">
        <v>0.32987012987012987</v>
      </c>
      <c r="M145" s="10">
        <v>0</v>
      </c>
      <c r="N145" s="11">
        <v>0</v>
      </c>
      <c r="O145" s="12">
        <v>2.5899999999999999E-2</v>
      </c>
      <c r="P145" s="11">
        <v>3.6400000000000002E-2</v>
      </c>
      <c r="Q145" s="35">
        <v>-0.8421917900517123</v>
      </c>
      <c r="R145" s="12">
        <v>0</v>
      </c>
      <c r="S145" s="10">
        <v>0</v>
      </c>
      <c r="T145" s="10">
        <v>0</v>
      </c>
      <c r="U145" s="22">
        <v>1</v>
      </c>
      <c r="V145" s="10">
        <v>1</v>
      </c>
      <c r="W145" s="10">
        <v>0</v>
      </c>
      <c r="X145" s="40">
        <v>0.89814630484345992</v>
      </c>
      <c r="Y145" s="39">
        <v>0.89814630484345992</v>
      </c>
      <c r="Z145" s="15">
        <v>6.2300000000000001E-2</v>
      </c>
      <c r="AA145" s="10">
        <v>0.8421917900517123</v>
      </c>
      <c r="AB145" s="10">
        <v>244.51567999999992</v>
      </c>
      <c r="AC145" s="43">
        <v>0</v>
      </c>
      <c r="AD145" s="43">
        <v>0</v>
      </c>
      <c r="AE145" s="44">
        <v>129.87012987012986</v>
      </c>
      <c r="AF145" s="10">
        <v>200</v>
      </c>
      <c r="AG145" s="10">
        <v>6520.6734200000001</v>
      </c>
      <c r="AH145" s="12">
        <v>0</v>
      </c>
      <c r="AI145" s="10">
        <v>512.32166018158239</v>
      </c>
      <c r="AJ145" s="10">
        <v>329.87012987012986</v>
      </c>
      <c r="AK145" s="5" t="s">
        <v>113</v>
      </c>
      <c r="AL145" s="5" t="s">
        <v>113</v>
      </c>
      <c r="AM145" s="4" t="s">
        <v>134</v>
      </c>
    </row>
    <row r="146" spans="1:39" x14ac:dyDescent="0.35">
      <c r="A146" s="5" t="s">
        <v>108</v>
      </c>
      <c r="B146" s="9" t="str">
        <f>VLOOKUP(D146,Auxiliar!A:C,2,0)</f>
        <v>ES CASAGRANDE</v>
      </c>
      <c r="C146" s="5" t="str">
        <f>VLOOKUP(D146,Auxiliar!A:C,3,0)</f>
        <v>Luisa</v>
      </c>
      <c r="D146" s="9" t="s">
        <v>57</v>
      </c>
      <c r="E146" s="16">
        <v>0</v>
      </c>
      <c r="F146" s="24">
        <v>0</v>
      </c>
      <c r="G146" s="53">
        <v>0</v>
      </c>
      <c r="H146" s="10">
        <v>0</v>
      </c>
      <c r="I146" s="10">
        <v>0</v>
      </c>
      <c r="J146" s="10">
        <v>0</v>
      </c>
      <c r="K146" s="10">
        <v>0</v>
      </c>
      <c r="L146" s="10">
        <v>0</v>
      </c>
      <c r="M146" s="10">
        <v>0</v>
      </c>
      <c r="N146" s="11">
        <v>0</v>
      </c>
      <c r="O146" s="12">
        <v>2.5899999999999999E-2</v>
      </c>
      <c r="P146" s="11">
        <v>3.6400000000000002E-2</v>
      </c>
      <c r="Q146" s="35">
        <v>0</v>
      </c>
      <c r="R146" s="12">
        <v>0</v>
      </c>
      <c r="S146" s="10">
        <v>0</v>
      </c>
      <c r="T146" s="10">
        <v>0</v>
      </c>
      <c r="U146" s="22">
        <v>1</v>
      </c>
      <c r="V146" s="10">
        <v>0</v>
      </c>
      <c r="W146" s="10">
        <v>0</v>
      </c>
      <c r="X146" s="40">
        <v>0</v>
      </c>
      <c r="Y146" s="39">
        <v>0</v>
      </c>
      <c r="Z146" s="15">
        <v>6.2300000000000001E-2</v>
      </c>
      <c r="AA146" s="10">
        <v>0</v>
      </c>
      <c r="AB146" s="10">
        <v>244.51567999999992</v>
      </c>
      <c r="AC146" s="43">
        <v>0</v>
      </c>
      <c r="AD146" s="43">
        <v>0</v>
      </c>
      <c r="AE146" s="44">
        <v>0</v>
      </c>
      <c r="AF146" s="10">
        <v>0</v>
      </c>
      <c r="AG146" s="10">
        <v>6520.6734200000001</v>
      </c>
      <c r="AH146" s="12">
        <v>0</v>
      </c>
      <c r="AI146" s="10">
        <v>0</v>
      </c>
      <c r="AJ146" s="10">
        <v>0</v>
      </c>
      <c r="AK146" s="5" t="s">
        <v>113</v>
      </c>
      <c r="AL146" s="5" t="s">
        <v>113</v>
      </c>
      <c r="AM146" s="4" t="s">
        <v>134</v>
      </c>
    </row>
    <row r="147" spans="1:39" x14ac:dyDescent="0.35">
      <c r="A147" s="5" t="s">
        <v>108</v>
      </c>
      <c r="B147" s="9" t="str">
        <f>VLOOKUP(D147,Auxiliar!A:C,2,0)</f>
        <v>ES ORIUNDI</v>
      </c>
      <c r="C147" s="5" t="str">
        <f>VLOOKUP(D147,Auxiliar!A:C,3,0)</f>
        <v>Luisa</v>
      </c>
      <c r="D147" s="9" t="s">
        <v>58</v>
      </c>
      <c r="E147" s="16">
        <v>0</v>
      </c>
      <c r="F147" s="24">
        <v>0</v>
      </c>
      <c r="G147" s="53">
        <v>0</v>
      </c>
      <c r="H147" s="10">
        <v>0</v>
      </c>
      <c r="I147" s="10">
        <v>0.75113179005171227</v>
      </c>
      <c r="J147" s="10">
        <v>0</v>
      </c>
      <c r="K147" s="10">
        <v>0.51232166018158243</v>
      </c>
      <c r="L147" s="10">
        <v>0.23881012987012987</v>
      </c>
      <c r="M147" s="10">
        <v>0</v>
      </c>
      <c r="N147" s="11">
        <v>0</v>
      </c>
      <c r="O147" s="12">
        <v>2.5899999999999999E-2</v>
      </c>
      <c r="P147" s="11">
        <v>3.6400000000000002E-2</v>
      </c>
      <c r="Q147" s="35">
        <v>-0.75113179005171227</v>
      </c>
      <c r="R147" s="12">
        <v>0</v>
      </c>
      <c r="S147" s="10">
        <v>0</v>
      </c>
      <c r="T147" s="10">
        <v>0</v>
      </c>
      <c r="U147" s="22">
        <v>1</v>
      </c>
      <c r="V147" s="10">
        <v>1</v>
      </c>
      <c r="W147" s="10">
        <v>0</v>
      </c>
      <c r="X147" s="40">
        <v>0.80103635496610037</v>
      </c>
      <c r="Y147" s="39">
        <v>0.80103635496610037</v>
      </c>
      <c r="Z147" s="15">
        <v>6.2300000000000001E-2</v>
      </c>
      <c r="AA147" s="10">
        <v>0.75113179005171227</v>
      </c>
      <c r="AB147" s="10">
        <v>244.51567999999992</v>
      </c>
      <c r="AC147" s="43">
        <v>0</v>
      </c>
      <c r="AD147" s="43">
        <v>0</v>
      </c>
      <c r="AE147" s="44">
        <v>129.87012987012986</v>
      </c>
      <c r="AF147" s="10">
        <v>108.94</v>
      </c>
      <c r="AG147" s="10">
        <v>6520.6734200000001</v>
      </c>
      <c r="AH147" s="12">
        <v>0</v>
      </c>
      <c r="AI147" s="10">
        <v>512.32166018158239</v>
      </c>
      <c r="AJ147" s="10">
        <v>238.81012987012986</v>
      </c>
      <c r="AK147" s="5" t="s">
        <v>113</v>
      </c>
      <c r="AL147" s="5" t="s">
        <v>113</v>
      </c>
      <c r="AM147" s="4" t="s">
        <v>134</v>
      </c>
    </row>
    <row r="148" spans="1:39" x14ac:dyDescent="0.35">
      <c r="A148" s="5" t="s">
        <v>108</v>
      </c>
      <c r="B148" s="9" t="str">
        <f>VLOOKUP(D148,Auxiliar!A:C,2,0)</f>
        <v>DF EMPÓRIO PRIME</v>
      </c>
      <c r="C148" s="5" t="str">
        <f>VLOOKUP(D148,Auxiliar!A:C,3,0)</f>
        <v>Luisa</v>
      </c>
      <c r="D148" s="9" t="s">
        <v>8</v>
      </c>
      <c r="E148" s="16">
        <v>0</v>
      </c>
      <c r="F148" s="24">
        <v>0</v>
      </c>
      <c r="G148" s="53">
        <v>10</v>
      </c>
      <c r="H148" s="10">
        <v>-10</v>
      </c>
      <c r="I148" s="10">
        <v>3.3687471602068491</v>
      </c>
      <c r="J148" s="10">
        <v>0</v>
      </c>
      <c r="K148" s="10">
        <v>2.0492866407263297</v>
      </c>
      <c r="L148" s="10">
        <v>1.3194605194805193</v>
      </c>
      <c r="M148" s="10">
        <v>0</v>
      </c>
      <c r="N148" s="11">
        <v>0</v>
      </c>
      <c r="O148" s="12">
        <v>2.5899999999999999E-2</v>
      </c>
      <c r="P148" s="11">
        <v>3.6400000000000002E-2</v>
      </c>
      <c r="Q148" s="35">
        <v>-13.36874716020685</v>
      </c>
      <c r="R148" s="12">
        <v>1.3368747160206849</v>
      </c>
      <c r="S148" s="10">
        <v>0</v>
      </c>
      <c r="T148" s="10">
        <v>0</v>
      </c>
      <c r="U148" s="22">
        <v>1</v>
      </c>
      <c r="V148" s="10">
        <v>4</v>
      </c>
      <c r="W148" s="10">
        <v>0</v>
      </c>
      <c r="X148" s="40">
        <v>14.256955487050069</v>
      </c>
      <c r="Y148" s="39">
        <v>3.5642388717625173</v>
      </c>
      <c r="Z148" s="15">
        <v>6.2300000000000001E-2</v>
      </c>
      <c r="AA148" s="10">
        <v>3.3687471602068491</v>
      </c>
      <c r="AB148" s="10">
        <v>244.51567999999992</v>
      </c>
      <c r="AC148" s="43">
        <v>0</v>
      </c>
      <c r="AD148" s="43">
        <v>0</v>
      </c>
      <c r="AE148" s="44">
        <v>519.48051948051943</v>
      </c>
      <c r="AF148" s="10">
        <v>799.98</v>
      </c>
      <c r="AG148" s="10">
        <v>6520.6734200000001</v>
      </c>
      <c r="AH148" s="12">
        <v>0</v>
      </c>
      <c r="AI148" s="10">
        <v>2049.2866407263296</v>
      </c>
      <c r="AJ148" s="10">
        <v>1319.4605194805195</v>
      </c>
      <c r="AK148" s="5" t="s">
        <v>113</v>
      </c>
      <c r="AL148" s="5" t="s">
        <v>113</v>
      </c>
      <c r="AM148" s="4" t="s">
        <v>134</v>
      </c>
    </row>
    <row r="149" spans="1:39" x14ac:dyDescent="0.35">
      <c r="A149" s="5" t="s">
        <v>108</v>
      </c>
      <c r="B149" s="9" t="str">
        <f>VLOOKUP(D149,Auxiliar!A:C,2,0)</f>
        <v>MG ABC</v>
      </c>
      <c r="C149" s="5" t="str">
        <f>VLOOKUP(D149,Auxiliar!A:C,3,0)</f>
        <v>Luisa</v>
      </c>
      <c r="D149" s="9" t="s">
        <v>9</v>
      </c>
      <c r="E149" s="16">
        <v>0.48760944312010363</v>
      </c>
      <c r="F149" s="24">
        <v>72.069399999999987</v>
      </c>
      <c r="G149" s="53">
        <v>0</v>
      </c>
      <c r="H149" s="10">
        <v>72.069399999999987</v>
      </c>
      <c r="I149" s="10">
        <v>51.19152773046541</v>
      </c>
      <c r="J149" s="10">
        <v>35.141719999999992</v>
      </c>
      <c r="K149" s="10">
        <v>4.6108949416342409</v>
      </c>
      <c r="L149" s="10">
        <v>1.9041311688311688</v>
      </c>
      <c r="M149" s="10">
        <v>9.5347816200000004</v>
      </c>
      <c r="N149" s="11">
        <v>7.0000000000000007E-2</v>
      </c>
      <c r="O149" s="12">
        <v>2.5899999999999999E-2</v>
      </c>
      <c r="P149" s="11">
        <v>3.6400000000000002E-2</v>
      </c>
      <c r="Q149" s="35">
        <v>20.877872269534578</v>
      </c>
      <c r="R149" s="12">
        <v>0.28969121804170123</v>
      </c>
      <c r="S149" s="10">
        <v>0</v>
      </c>
      <c r="T149" s="10">
        <v>0</v>
      </c>
      <c r="U149" s="22">
        <v>1</v>
      </c>
      <c r="V149" s="10">
        <v>9</v>
      </c>
      <c r="W149" s="10">
        <v>5.0448579999999996</v>
      </c>
      <c r="X149" s="40">
        <v>17.140720790188094</v>
      </c>
      <c r="Y149" s="39">
        <v>1.9045245322431217</v>
      </c>
      <c r="Z149" s="15">
        <v>0.61990944312010365</v>
      </c>
      <c r="AA149" s="10">
        <v>6.5150261104654099</v>
      </c>
      <c r="AB149" s="10">
        <v>244.51567999999992</v>
      </c>
      <c r="AC149" s="43">
        <v>0.29474347003022472</v>
      </c>
      <c r="AD149" s="43">
        <v>1.1052447401974011E-2</v>
      </c>
      <c r="AE149" s="44">
        <v>1168.8311688311687</v>
      </c>
      <c r="AF149" s="10">
        <v>735.30000000000007</v>
      </c>
      <c r="AG149" s="10">
        <v>6520.6734200000001</v>
      </c>
      <c r="AH149" s="12">
        <v>1.1052447401974011E-2</v>
      </c>
      <c r="AI149" s="10">
        <v>4610.8949416342411</v>
      </c>
      <c r="AJ149" s="10">
        <v>1904.1311688311689</v>
      </c>
      <c r="AK149" s="5" t="s">
        <v>113</v>
      </c>
      <c r="AL149" s="5" t="s">
        <v>113</v>
      </c>
      <c r="AM149" s="4" t="s">
        <v>134</v>
      </c>
    </row>
    <row r="150" spans="1:39" x14ac:dyDescent="0.35">
      <c r="A150" s="5" t="s">
        <v>108</v>
      </c>
      <c r="B150" s="9" t="str">
        <f>VLOOKUP(D150,Auxiliar!A:C,2,0)</f>
        <v>MG BEM HORTIFRUT</v>
      </c>
      <c r="C150" s="5" t="str">
        <f>VLOOKUP(D150,Auxiliar!A:C,3,0)</f>
        <v>Luisa</v>
      </c>
      <c r="D150" s="9" t="s">
        <v>10</v>
      </c>
      <c r="E150" s="16">
        <v>0</v>
      </c>
      <c r="F150" s="24">
        <v>0</v>
      </c>
      <c r="G150" s="53">
        <v>0</v>
      </c>
      <c r="H150" s="10">
        <v>0</v>
      </c>
      <c r="I150" s="10">
        <v>9.5018598888362078</v>
      </c>
      <c r="J150" s="10">
        <v>0</v>
      </c>
      <c r="K150" s="10">
        <v>6.1478599221789878</v>
      </c>
      <c r="L150" s="10">
        <v>3.3539999666572196</v>
      </c>
      <c r="M150" s="10">
        <v>0</v>
      </c>
      <c r="N150" s="11">
        <v>0</v>
      </c>
      <c r="O150" s="12">
        <v>2.5899999999999999E-2</v>
      </c>
      <c r="P150" s="11">
        <v>3.6400000000000002E-2</v>
      </c>
      <c r="Q150" s="35">
        <v>-9.5018598888362078</v>
      </c>
      <c r="R150" s="12">
        <v>0</v>
      </c>
      <c r="S150" s="10">
        <v>0</v>
      </c>
      <c r="T150" s="10">
        <v>0</v>
      </c>
      <c r="U150" s="22">
        <v>1</v>
      </c>
      <c r="V150" s="10">
        <v>12</v>
      </c>
      <c r="W150" s="10">
        <v>0</v>
      </c>
      <c r="X150" s="40">
        <v>10.133155474923971</v>
      </c>
      <c r="Y150" s="39">
        <v>0.84442962291033086</v>
      </c>
      <c r="Z150" s="15">
        <v>6.2300000000000001E-2</v>
      </c>
      <c r="AA150" s="10">
        <v>9.5018598888362078</v>
      </c>
      <c r="AB150" s="10">
        <v>244.51567999999992</v>
      </c>
      <c r="AC150" s="43">
        <v>0</v>
      </c>
      <c r="AD150" s="43">
        <v>0</v>
      </c>
      <c r="AE150" s="44">
        <v>1558.4415584415583</v>
      </c>
      <c r="AF150" s="10">
        <v>1795.5584082156611</v>
      </c>
      <c r="AG150" s="10">
        <v>6520.6734200000001</v>
      </c>
      <c r="AH150" s="12">
        <v>0</v>
      </c>
      <c r="AI150" s="10">
        <v>6147.8599221789882</v>
      </c>
      <c r="AJ150" s="10">
        <v>3353.9999666572194</v>
      </c>
      <c r="AK150" s="5" t="s">
        <v>113</v>
      </c>
      <c r="AL150" s="5" t="s">
        <v>113</v>
      </c>
      <c r="AM150" s="4" t="s">
        <v>134</v>
      </c>
    </row>
    <row r="151" spans="1:39" x14ac:dyDescent="0.35">
      <c r="A151" s="5" t="s">
        <v>108</v>
      </c>
      <c r="B151" s="9" t="str">
        <f>VLOOKUP(D151,Auxiliar!A:C,2,0)</f>
        <v>MG COELHO DINIZ</v>
      </c>
      <c r="C151" s="5" t="str">
        <f>VLOOKUP(D151,Auxiliar!A:C,3,0)</f>
        <v>Luisa</v>
      </c>
      <c r="D151" s="9" t="s">
        <v>12</v>
      </c>
      <c r="E151" s="16">
        <v>0</v>
      </c>
      <c r="F151" s="24">
        <v>0</v>
      </c>
      <c r="G151" s="53">
        <v>0</v>
      </c>
      <c r="H151" s="10">
        <v>0</v>
      </c>
      <c r="I151" s="10">
        <v>12.256508640827395</v>
      </c>
      <c r="J151" s="10">
        <v>0</v>
      </c>
      <c r="K151" s="10">
        <v>8.1971465629053188</v>
      </c>
      <c r="L151" s="10">
        <v>4.0593620779220769</v>
      </c>
      <c r="M151" s="10">
        <v>0</v>
      </c>
      <c r="N151" s="11">
        <v>0.03</v>
      </c>
      <c r="O151" s="12">
        <v>2.5899999999999999E-2</v>
      </c>
      <c r="P151" s="11">
        <v>3.6400000000000002E-2</v>
      </c>
      <c r="Q151" s="35">
        <v>-12.256508640827395</v>
      </c>
      <c r="R151" s="12">
        <v>0</v>
      </c>
      <c r="S151" s="10">
        <v>0</v>
      </c>
      <c r="T151" s="10">
        <v>0</v>
      </c>
      <c r="U151" s="22">
        <v>1</v>
      </c>
      <c r="V151" s="10">
        <v>16</v>
      </c>
      <c r="W151" s="10">
        <v>0</v>
      </c>
      <c r="X151" s="40">
        <v>13.502818817701218</v>
      </c>
      <c r="Y151" s="39">
        <v>0.84392617610632614</v>
      </c>
      <c r="Z151" s="15">
        <v>9.2299999999999993E-2</v>
      </c>
      <c r="AA151" s="10">
        <v>12.256508640827395</v>
      </c>
      <c r="AB151" s="10">
        <v>244.51567999999992</v>
      </c>
      <c r="AC151" s="43">
        <v>0</v>
      </c>
      <c r="AD151" s="43">
        <v>0</v>
      </c>
      <c r="AE151" s="44">
        <v>2077.9220779220777</v>
      </c>
      <c r="AF151" s="10">
        <v>1981.4399999999996</v>
      </c>
      <c r="AG151" s="10">
        <v>6520.6734200000001</v>
      </c>
      <c r="AH151" s="12">
        <v>0</v>
      </c>
      <c r="AI151" s="10">
        <v>8197.1465629053182</v>
      </c>
      <c r="AJ151" s="10">
        <v>4059.3620779220773</v>
      </c>
      <c r="AK151" s="5" t="s">
        <v>113</v>
      </c>
      <c r="AL151" s="5" t="s">
        <v>113</v>
      </c>
      <c r="AM151" s="4" t="s">
        <v>134</v>
      </c>
    </row>
    <row r="152" spans="1:39" x14ac:dyDescent="0.35">
      <c r="A152" s="5" t="s">
        <v>108</v>
      </c>
      <c r="B152" s="9" t="str">
        <f>VLOOKUP(D152,Auxiliar!A:C,2,0)</f>
        <v>MG Hiper Monlevade</v>
      </c>
      <c r="C152" s="5" t="str">
        <f>VLOOKUP(D152,Auxiliar!A:C,3,0)</f>
        <v>Luisa</v>
      </c>
      <c r="D152" s="9" t="s">
        <v>59</v>
      </c>
      <c r="E152" s="16">
        <v>0</v>
      </c>
      <c r="F152" s="24">
        <v>0</v>
      </c>
      <c r="G152" s="53">
        <v>0</v>
      </c>
      <c r="H152" s="10">
        <v>0</v>
      </c>
      <c r="I152" s="10">
        <v>0</v>
      </c>
      <c r="J152" s="10">
        <v>0</v>
      </c>
      <c r="K152" s="10">
        <v>0</v>
      </c>
      <c r="L152" s="10">
        <v>0</v>
      </c>
      <c r="M152" s="10">
        <v>0</v>
      </c>
      <c r="N152" s="11">
        <v>0</v>
      </c>
      <c r="O152" s="12">
        <v>2.5899999999999999E-2</v>
      </c>
      <c r="P152" s="11">
        <v>3.6400000000000002E-2</v>
      </c>
      <c r="Q152" s="35">
        <v>0</v>
      </c>
      <c r="R152" s="12">
        <v>0</v>
      </c>
      <c r="S152" s="10">
        <v>0</v>
      </c>
      <c r="T152" s="10">
        <v>0</v>
      </c>
      <c r="U152" s="22">
        <v>1</v>
      </c>
      <c r="V152" s="10">
        <v>0</v>
      </c>
      <c r="W152" s="10">
        <v>0</v>
      </c>
      <c r="X152" s="40">
        <v>0</v>
      </c>
      <c r="Y152" s="39">
        <v>0</v>
      </c>
      <c r="Z152" s="15">
        <v>6.2300000000000001E-2</v>
      </c>
      <c r="AA152" s="10">
        <v>0</v>
      </c>
      <c r="AB152" s="10">
        <v>244.51567999999992</v>
      </c>
      <c r="AC152" s="43">
        <v>0</v>
      </c>
      <c r="AD152" s="43">
        <v>0</v>
      </c>
      <c r="AE152" s="44">
        <v>0</v>
      </c>
      <c r="AF152" s="10">
        <v>0</v>
      </c>
      <c r="AG152" s="10">
        <v>6520.6734200000001</v>
      </c>
      <c r="AH152" s="12">
        <v>0</v>
      </c>
      <c r="AI152" s="10">
        <v>0</v>
      </c>
      <c r="AJ152" s="10">
        <v>0</v>
      </c>
      <c r="AK152" s="5" t="s">
        <v>113</v>
      </c>
      <c r="AL152" s="5" t="s">
        <v>113</v>
      </c>
      <c r="AM152" s="4" t="s">
        <v>134</v>
      </c>
    </row>
    <row r="153" spans="1:39" x14ac:dyDescent="0.35">
      <c r="A153" s="5" t="s">
        <v>108</v>
      </c>
      <c r="B153" s="9" t="str">
        <f>VLOOKUP(D153,Auxiliar!A:C,2,0)</f>
        <v>MG PANELÃO</v>
      </c>
      <c r="C153" s="5" t="str">
        <f>VLOOKUP(D153,Auxiliar!A:C,3,0)</f>
        <v>Luisa</v>
      </c>
      <c r="D153" s="9" t="s">
        <v>13</v>
      </c>
      <c r="E153" s="16">
        <v>0</v>
      </c>
      <c r="F153" s="24">
        <v>0</v>
      </c>
      <c r="G153" s="53">
        <v>0</v>
      </c>
      <c r="H153" s="10">
        <v>0</v>
      </c>
      <c r="I153" s="10">
        <v>3.6194589502585615</v>
      </c>
      <c r="J153" s="10">
        <v>0</v>
      </c>
      <c r="K153" s="10">
        <v>2.561608300907912</v>
      </c>
      <c r="L153" s="10">
        <v>1.0578506493506492</v>
      </c>
      <c r="M153" s="10">
        <v>0</v>
      </c>
      <c r="N153" s="11">
        <v>0</v>
      </c>
      <c r="O153" s="12">
        <v>2.5899999999999999E-2</v>
      </c>
      <c r="P153" s="11">
        <v>3.6400000000000002E-2</v>
      </c>
      <c r="Q153" s="35">
        <v>-3.6194589502585615</v>
      </c>
      <c r="R153" s="12">
        <v>0</v>
      </c>
      <c r="S153" s="10">
        <v>0</v>
      </c>
      <c r="T153" s="10">
        <v>0</v>
      </c>
      <c r="U153" s="22">
        <v>1</v>
      </c>
      <c r="V153" s="10">
        <v>5</v>
      </c>
      <c r="W153" s="10">
        <v>0</v>
      </c>
      <c r="X153" s="40">
        <v>3.8599327612867245</v>
      </c>
      <c r="Y153" s="39">
        <v>0.77198655225734492</v>
      </c>
      <c r="Z153" s="15">
        <v>6.2300000000000001E-2</v>
      </c>
      <c r="AA153" s="10">
        <v>3.6194589502585615</v>
      </c>
      <c r="AB153" s="10">
        <v>244.51567999999992</v>
      </c>
      <c r="AC153" s="43">
        <v>0</v>
      </c>
      <c r="AD153" s="43">
        <v>0</v>
      </c>
      <c r="AE153" s="44">
        <v>649.35064935064929</v>
      </c>
      <c r="AF153" s="10">
        <v>408.5</v>
      </c>
      <c r="AG153" s="10">
        <v>6520.6734200000001</v>
      </c>
      <c r="AH153" s="12">
        <v>0</v>
      </c>
      <c r="AI153" s="10">
        <v>2561.6083009079121</v>
      </c>
      <c r="AJ153" s="10">
        <v>1057.8506493506493</v>
      </c>
      <c r="AK153" s="5" t="s">
        <v>113</v>
      </c>
      <c r="AL153" s="5" t="s">
        <v>113</v>
      </c>
      <c r="AM153" s="4" t="s">
        <v>134</v>
      </c>
    </row>
    <row r="154" spans="1:39" x14ac:dyDescent="0.35">
      <c r="A154" s="5" t="s">
        <v>108</v>
      </c>
      <c r="B154" s="9" t="str">
        <f>VLOOKUP(D154,Auxiliar!A:C,2,0)</f>
        <v>MG SUPER LUNA</v>
      </c>
      <c r="C154" s="5" t="str">
        <f>VLOOKUP(D154,Auxiliar!A:C,3,0)</f>
        <v>Luisa</v>
      </c>
      <c r="D154" s="9" t="s">
        <v>14</v>
      </c>
      <c r="E154" s="16">
        <v>0</v>
      </c>
      <c r="F154" s="24">
        <v>0</v>
      </c>
      <c r="G154" s="53">
        <v>0</v>
      </c>
      <c r="H154" s="10">
        <v>0</v>
      </c>
      <c r="I154" s="10">
        <v>9.1368728484635717</v>
      </c>
      <c r="J154" s="10">
        <v>0</v>
      </c>
      <c r="K154" s="10">
        <v>5.6355382619974064</v>
      </c>
      <c r="L154" s="10">
        <v>3.5013345864661649</v>
      </c>
      <c r="M154" s="10">
        <v>0</v>
      </c>
      <c r="N154" s="11">
        <v>0.03</v>
      </c>
      <c r="O154" s="12">
        <v>2.5899999999999999E-2</v>
      </c>
      <c r="P154" s="11">
        <v>3.6400000000000002E-2</v>
      </c>
      <c r="Q154" s="35">
        <v>-9.1368728484635717</v>
      </c>
      <c r="R154" s="12">
        <v>0</v>
      </c>
      <c r="S154" s="10">
        <v>0</v>
      </c>
      <c r="T154" s="10">
        <v>0</v>
      </c>
      <c r="U154" s="22">
        <v>1</v>
      </c>
      <c r="V154" s="10">
        <v>11</v>
      </c>
      <c r="W154" s="10">
        <v>0</v>
      </c>
      <c r="X154" s="40">
        <v>10.065961053722125</v>
      </c>
      <c r="Y154" s="39">
        <v>0.91508736852019323</v>
      </c>
      <c r="Z154" s="15">
        <v>9.2299999999999993E-2</v>
      </c>
      <c r="AA154" s="10">
        <v>9.1368728484635717</v>
      </c>
      <c r="AB154" s="10">
        <v>244.51567999999992</v>
      </c>
      <c r="AC154" s="43">
        <v>0</v>
      </c>
      <c r="AD154" s="43">
        <v>0</v>
      </c>
      <c r="AE154" s="44">
        <v>1428.5714285714284</v>
      </c>
      <c r="AF154" s="10">
        <v>2072.7631578947367</v>
      </c>
      <c r="AG154" s="10">
        <v>6520.6734200000001</v>
      </c>
      <c r="AH154" s="12">
        <v>0</v>
      </c>
      <c r="AI154" s="10">
        <v>5635.5382619974062</v>
      </c>
      <c r="AJ154" s="10">
        <v>3501.3345864661651</v>
      </c>
      <c r="AK154" s="5" t="s">
        <v>113</v>
      </c>
      <c r="AL154" s="5" t="s">
        <v>113</v>
      </c>
      <c r="AM154" s="4" t="s">
        <v>134</v>
      </c>
    </row>
    <row r="155" spans="1:39" x14ac:dyDescent="0.35">
      <c r="A155" s="5" t="s">
        <v>108</v>
      </c>
      <c r="B155" s="9" t="str">
        <f>VLOOKUP(D155,Auxiliar!A:C,2,0)</f>
        <v>MG SUPERMAXI</v>
      </c>
      <c r="C155" s="5" t="str">
        <f>VLOOKUP(D155,Auxiliar!A:C,3,0)</f>
        <v>Luisa</v>
      </c>
      <c r="D155" s="9" t="s">
        <v>15</v>
      </c>
      <c r="E155" s="16">
        <v>0</v>
      </c>
      <c r="F155" s="24">
        <v>0</v>
      </c>
      <c r="G155" s="53">
        <v>0</v>
      </c>
      <c r="H155" s="10">
        <v>0</v>
      </c>
      <c r="I155" s="10">
        <v>0</v>
      </c>
      <c r="J155" s="10">
        <v>0</v>
      </c>
      <c r="K155" s="10">
        <v>0</v>
      </c>
      <c r="L155" s="10">
        <v>0</v>
      </c>
      <c r="M155" s="10">
        <v>0</v>
      </c>
      <c r="N155" s="11">
        <v>6.5000000000000002E-2</v>
      </c>
      <c r="O155" s="12">
        <v>2.5899999999999999E-2</v>
      </c>
      <c r="P155" s="11">
        <v>3.6400000000000002E-2</v>
      </c>
      <c r="Q155" s="35">
        <v>0</v>
      </c>
      <c r="R155" s="12">
        <v>0</v>
      </c>
      <c r="S155" s="10">
        <v>0</v>
      </c>
      <c r="T155" s="10">
        <v>0</v>
      </c>
      <c r="U155" s="22">
        <v>1</v>
      </c>
      <c r="V155" s="10">
        <v>0</v>
      </c>
      <c r="W155" s="10">
        <v>0</v>
      </c>
      <c r="X155" s="40">
        <v>0</v>
      </c>
      <c r="Y155" s="39">
        <v>0</v>
      </c>
      <c r="Z155" s="15">
        <v>0.12730000000000002</v>
      </c>
      <c r="AA155" s="10">
        <v>0</v>
      </c>
      <c r="AB155" s="10">
        <v>244.51567999999992</v>
      </c>
      <c r="AC155" s="43">
        <v>0</v>
      </c>
      <c r="AD155" s="43">
        <v>0</v>
      </c>
      <c r="AE155" s="44">
        <v>0</v>
      </c>
      <c r="AF155" s="10">
        <v>0</v>
      </c>
      <c r="AG155" s="10">
        <v>6520.6734200000001</v>
      </c>
      <c r="AH155" s="12">
        <v>0</v>
      </c>
      <c r="AI155" s="10">
        <v>0</v>
      </c>
      <c r="AJ155" s="10">
        <v>0</v>
      </c>
      <c r="AK155" s="5" t="s">
        <v>113</v>
      </c>
      <c r="AL155" s="5" t="s">
        <v>113</v>
      </c>
      <c r="AM155" s="4" t="s">
        <v>134</v>
      </c>
    </row>
    <row r="156" spans="1:39" x14ac:dyDescent="0.35">
      <c r="A156" s="5" t="s">
        <v>108</v>
      </c>
      <c r="B156" s="9" t="str">
        <f>VLOOKUP(D156,Auxiliar!A:C,2,0)</f>
        <v>MG SUPERMERCADO MONTEREY</v>
      </c>
      <c r="C156" s="5" t="str">
        <f>VLOOKUP(D156,Auxiliar!A:C,3,0)</f>
        <v>Luisa</v>
      </c>
      <c r="D156" s="9" t="s">
        <v>118</v>
      </c>
      <c r="E156" s="16">
        <v>0</v>
      </c>
      <c r="F156" s="24">
        <v>0</v>
      </c>
      <c r="G156" s="53">
        <v>0</v>
      </c>
      <c r="H156" s="10">
        <v>0</v>
      </c>
      <c r="I156" s="10">
        <v>0.64219179005171223</v>
      </c>
      <c r="J156" s="10">
        <v>0</v>
      </c>
      <c r="K156" s="10">
        <v>0.51232166018158243</v>
      </c>
      <c r="L156" s="10">
        <v>0.12987012987012986</v>
      </c>
      <c r="M156" s="10">
        <v>0</v>
      </c>
      <c r="N156" s="11">
        <v>0</v>
      </c>
      <c r="O156" s="12">
        <v>2.5899999999999999E-2</v>
      </c>
      <c r="P156" s="11">
        <v>3.6400000000000002E-2</v>
      </c>
      <c r="Q156" s="35">
        <v>-0.64219179005171223</v>
      </c>
      <c r="R156" s="12">
        <v>0</v>
      </c>
      <c r="S156" s="10">
        <v>0</v>
      </c>
      <c r="T156" s="10">
        <v>0</v>
      </c>
      <c r="U156" s="22">
        <v>1</v>
      </c>
      <c r="V156" s="10">
        <v>1</v>
      </c>
      <c r="W156" s="10">
        <v>0</v>
      </c>
      <c r="X156" s="40">
        <v>0.68485847291427138</v>
      </c>
      <c r="Y156" s="39">
        <v>0.68485847291427138</v>
      </c>
      <c r="Z156" s="15">
        <v>6.2300000000000001E-2</v>
      </c>
      <c r="AA156" s="10">
        <v>0.64219179005171223</v>
      </c>
      <c r="AB156" s="10">
        <v>244.51567999999992</v>
      </c>
      <c r="AC156" s="43">
        <v>0</v>
      </c>
      <c r="AD156" s="43">
        <v>0</v>
      </c>
      <c r="AE156" s="44">
        <v>129.87012987012986</v>
      </c>
      <c r="AF156" s="10">
        <v>0</v>
      </c>
      <c r="AG156" s="10">
        <v>6520.6734200000001</v>
      </c>
      <c r="AH156" s="12">
        <v>0</v>
      </c>
      <c r="AI156" s="10">
        <v>512.32166018158239</v>
      </c>
      <c r="AJ156" s="10">
        <v>129.87012987012986</v>
      </c>
      <c r="AK156" s="5" t="s">
        <v>113</v>
      </c>
      <c r="AL156" s="5" t="s">
        <v>113</v>
      </c>
      <c r="AM156" s="4" t="s">
        <v>134</v>
      </c>
    </row>
    <row r="157" spans="1:39" x14ac:dyDescent="0.35">
      <c r="A157" s="5" t="s">
        <v>108</v>
      </c>
      <c r="B157" s="9" t="str">
        <f>VLOOKUP(D157,Auxiliar!A:C,2,0)</f>
        <v>MG VIA BAHIA</v>
      </c>
      <c r="C157" s="5" t="str">
        <f>VLOOKUP(D157,Auxiliar!A:C,3,0)</f>
        <v>Luisa</v>
      </c>
      <c r="D157" s="9" t="s">
        <v>16</v>
      </c>
      <c r="E157" s="16">
        <v>0</v>
      </c>
      <c r="F157" s="24">
        <v>0</v>
      </c>
      <c r="G157" s="53">
        <v>0</v>
      </c>
      <c r="H157" s="10">
        <v>0</v>
      </c>
      <c r="I157" s="10">
        <v>3.9109589502585616</v>
      </c>
      <c r="J157" s="10">
        <v>0</v>
      </c>
      <c r="K157" s="10">
        <v>2.561608300907912</v>
      </c>
      <c r="L157" s="10">
        <v>1.3493506493506493</v>
      </c>
      <c r="M157" s="10">
        <v>0</v>
      </c>
      <c r="N157" s="11">
        <v>0</v>
      </c>
      <c r="O157" s="12">
        <v>2.5899999999999999E-2</v>
      </c>
      <c r="P157" s="11">
        <v>3.6400000000000002E-2</v>
      </c>
      <c r="Q157" s="35">
        <v>-3.9109589502585616</v>
      </c>
      <c r="R157" s="12">
        <v>0</v>
      </c>
      <c r="S157" s="10">
        <v>0</v>
      </c>
      <c r="T157" s="10">
        <v>0</v>
      </c>
      <c r="U157" s="22">
        <v>1</v>
      </c>
      <c r="V157" s="10">
        <v>5</v>
      </c>
      <c r="W157" s="10">
        <v>0</v>
      </c>
      <c r="X157" s="40">
        <v>4.1707997763235172</v>
      </c>
      <c r="Y157" s="39">
        <v>0.83415995526470343</v>
      </c>
      <c r="Z157" s="15">
        <v>6.2300000000000001E-2</v>
      </c>
      <c r="AA157" s="10">
        <v>3.9109589502585616</v>
      </c>
      <c r="AB157" s="10">
        <v>244.51567999999992</v>
      </c>
      <c r="AC157" s="43">
        <v>0</v>
      </c>
      <c r="AD157" s="43">
        <v>0</v>
      </c>
      <c r="AE157" s="44">
        <v>649.35064935064929</v>
      </c>
      <c r="AF157" s="10">
        <v>700</v>
      </c>
      <c r="AG157" s="10">
        <v>6520.6734200000001</v>
      </c>
      <c r="AH157" s="12">
        <v>0</v>
      </c>
      <c r="AI157" s="10">
        <v>2561.6083009079121</v>
      </c>
      <c r="AJ157" s="10">
        <v>1349.3506493506493</v>
      </c>
      <c r="AK157" s="5" t="s">
        <v>113</v>
      </c>
      <c r="AL157" s="5" t="s">
        <v>113</v>
      </c>
      <c r="AM157" s="4" t="s">
        <v>134</v>
      </c>
    </row>
    <row r="158" spans="1:39" x14ac:dyDescent="0.35">
      <c r="A158" s="5" t="s">
        <v>108</v>
      </c>
      <c r="B158" s="9" t="str">
        <f>VLOOKUP(D158,Auxiliar!A:C,2,0)</f>
        <v>MT BIG LAR</v>
      </c>
      <c r="C158" s="5" t="str">
        <f>VLOOKUP(D158,Auxiliar!A:C,3,0)</f>
        <v>Luisa</v>
      </c>
      <c r="D158" s="9" t="s">
        <v>17</v>
      </c>
      <c r="E158" s="16">
        <v>0</v>
      </c>
      <c r="F158" s="24">
        <v>0</v>
      </c>
      <c r="G158" s="53">
        <v>0</v>
      </c>
      <c r="H158" s="10">
        <v>0</v>
      </c>
      <c r="I158" s="10">
        <v>1.5343835801034245</v>
      </c>
      <c r="J158" s="10">
        <v>0</v>
      </c>
      <c r="K158" s="10">
        <v>1.0246433203631649</v>
      </c>
      <c r="L158" s="10">
        <v>0.50974025974025972</v>
      </c>
      <c r="M158" s="10">
        <v>0</v>
      </c>
      <c r="N158" s="11">
        <v>0</v>
      </c>
      <c r="O158" s="12">
        <v>2.5899999999999999E-2</v>
      </c>
      <c r="P158" s="11">
        <v>3.6400000000000002E-2</v>
      </c>
      <c r="Q158" s="35">
        <v>-1.5343835801034245</v>
      </c>
      <c r="R158" s="12">
        <v>0</v>
      </c>
      <c r="S158" s="10">
        <v>0</v>
      </c>
      <c r="T158" s="10">
        <v>0</v>
      </c>
      <c r="U158" s="22">
        <v>1</v>
      </c>
      <c r="V158" s="10">
        <v>2</v>
      </c>
      <c r="W158" s="10">
        <v>0</v>
      </c>
      <c r="X158" s="40">
        <v>1.6363267357400282</v>
      </c>
      <c r="Y158" s="39">
        <v>0.81816336787001409</v>
      </c>
      <c r="Z158" s="15">
        <v>6.2300000000000001E-2</v>
      </c>
      <c r="AA158" s="10">
        <v>1.5343835801034245</v>
      </c>
      <c r="AB158" s="10">
        <v>244.51567999999992</v>
      </c>
      <c r="AC158" s="43">
        <v>0</v>
      </c>
      <c r="AD158" s="43">
        <v>0</v>
      </c>
      <c r="AE158" s="44">
        <v>259.74025974025972</v>
      </c>
      <c r="AF158" s="10">
        <v>250</v>
      </c>
      <c r="AG158" s="10">
        <v>6520.6734200000001</v>
      </c>
      <c r="AH158" s="12">
        <v>0</v>
      </c>
      <c r="AI158" s="10">
        <v>1024.6433203631648</v>
      </c>
      <c r="AJ158" s="10">
        <v>509.74025974025972</v>
      </c>
      <c r="AK158" s="5" t="s">
        <v>113</v>
      </c>
      <c r="AL158" s="5" t="s">
        <v>113</v>
      </c>
      <c r="AM158" s="4" t="s">
        <v>134</v>
      </c>
    </row>
    <row r="159" spans="1:39" x14ac:dyDescent="0.35">
      <c r="A159" s="5" t="s">
        <v>108</v>
      </c>
      <c r="B159" s="9" t="str">
        <f>VLOOKUP(D159,Auxiliar!A:C,2,0)</f>
        <v>MT BOM GOSTO</v>
      </c>
      <c r="C159" s="5" t="str">
        <f>VLOOKUP(D159,Auxiliar!A:C,3,0)</f>
        <v>Luisa</v>
      </c>
      <c r="D159" s="9" t="s">
        <v>60</v>
      </c>
      <c r="E159" s="16">
        <v>0</v>
      </c>
      <c r="F159" s="24">
        <v>0</v>
      </c>
      <c r="G159" s="53">
        <v>0</v>
      </c>
      <c r="H159" s="10">
        <v>0</v>
      </c>
      <c r="I159" s="10">
        <v>0</v>
      </c>
      <c r="J159" s="10">
        <v>0</v>
      </c>
      <c r="K159" s="10">
        <v>0</v>
      </c>
      <c r="L159" s="10">
        <v>0</v>
      </c>
      <c r="M159" s="10">
        <v>0</v>
      </c>
      <c r="N159" s="11">
        <v>0</v>
      </c>
      <c r="O159" s="12">
        <v>2.5899999999999999E-2</v>
      </c>
      <c r="P159" s="11">
        <v>3.6400000000000002E-2</v>
      </c>
      <c r="Q159" s="35">
        <v>0</v>
      </c>
      <c r="R159" s="12">
        <v>0</v>
      </c>
      <c r="S159" s="10">
        <v>0</v>
      </c>
      <c r="T159" s="10">
        <v>0</v>
      </c>
      <c r="U159" s="22">
        <v>1</v>
      </c>
      <c r="V159" s="10">
        <v>0</v>
      </c>
      <c r="W159" s="10">
        <v>0</v>
      </c>
      <c r="X159" s="40">
        <v>0</v>
      </c>
      <c r="Y159" s="39">
        <v>0</v>
      </c>
      <c r="Z159" s="15">
        <v>6.2300000000000001E-2</v>
      </c>
      <c r="AA159" s="10">
        <v>0</v>
      </c>
      <c r="AB159" s="10">
        <v>244.51567999999992</v>
      </c>
      <c r="AC159" s="43">
        <v>0</v>
      </c>
      <c r="AD159" s="43">
        <v>0</v>
      </c>
      <c r="AE159" s="44">
        <v>0</v>
      </c>
      <c r="AF159" s="10">
        <v>0</v>
      </c>
      <c r="AG159" s="10">
        <v>6520.6734200000001</v>
      </c>
      <c r="AH159" s="12">
        <v>0</v>
      </c>
      <c r="AI159" s="10">
        <v>0</v>
      </c>
      <c r="AJ159" s="10">
        <v>0</v>
      </c>
      <c r="AK159" s="5" t="s">
        <v>113</v>
      </c>
      <c r="AL159" s="5" t="s">
        <v>113</v>
      </c>
      <c r="AM159" s="4" t="s">
        <v>134</v>
      </c>
    </row>
    <row r="160" spans="1:39" x14ac:dyDescent="0.35">
      <c r="A160" s="5" t="s">
        <v>108</v>
      </c>
      <c r="B160" s="9" t="str">
        <f>VLOOKUP(D160,Auxiliar!A:C,2,0)</f>
        <v>MT FORT</v>
      </c>
      <c r="C160" s="5" t="str">
        <f>VLOOKUP(D160,Auxiliar!A:C,3,0)</f>
        <v>Luisa</v>
      </c>
      <c r="D160" s="9" t="s">
        <v>18</v>
      </c>
      <c r="E160" s="16">
        <v>0</v>
      </c>
      <c r="F160" s="24">
        <v>0</v>
      </c>
      <c r="G160" s="53">
        <v>6.4500000000000002E-2</v>
      </c>
      <c r="H160" s="10">
        <v>-6.4500000000000002E-2</v>
      </c>
      <c r="I160" s="10">
        <v>5.2453425303619854</v>
      </c>
      <c r="J160" s="10">
        <v>0</v>
      </c>
      <c r="K160" s="10">
        <v>3.5862516212710767</v>
      </c>
      <c r="L160" s="10">
        <v>1.6590909090909089</v>
      </c>
      <c r="M160" s="10">
        <v>0</v>
      </c>
      <c r="N160" s="11">
        <v>0.09</v>
      </c>
      <c r="O160" s="12">
        <v>2.5899999999999999E-2</v>
      </c>
      <c r="P160" s="11">
        <v>3.6400000000000002E-2</v>
      </c>
      <c r="Q160" s="35">
        <v>-5.3098425303619852</v>
      </c>
      <c r="R160" s="12">
        <v>82.323140005612174</v>
      </c>
      <c r="S160" s="10">
        <v>0</v>
      </c>
      <c r="T160" s="10">
        <v>0</v>
      </c>
      <c r="U160" s="22">
        <v>1</v>
      </c>
      <c r="V160" s="10">
        <v>7</v>
      </c>
      <c r="W160" s="10">
        <v>0</v>
      </c>
      <c r="X160" s="40">
        <v>6.2638227325256404</v>
      </c>
      <c r="Y160" s="39">
        <v>0.89483181893223429</v>
      </c>
      <c r="Z160" s="15">
        <v>0.15229999999999999</v>
      </c>
      <c r="AA160" s="10">
        <v>5.2453425303619854</v>
      </c>
      <c r="AB160" s="10">
        <v>244.51567999999992</v>
      </c>
      <c r="AC160" s="43">
        <v>0</v>
      </c>
      <c r="AD160" s="43">
        <v>0</v>
      </c>
      <c r="AE160" s="44">
        <v>909.09090909090901</v>
      </c>
      <c r="AF160" s="10">
        <v>750</v>
      </c>
      <c r="AG160" s="10">
        <v>6520.6734200000001</v>
      </c>
      <c r="AH160" s="12">
        <v>0</v>
      </c>
      <c r="AI160" s="10">
        <v>3586.2516212710766</v>
      </c>
      <c r="AJ160" s="10">
        <v>1659.090909090909</v>
      </c>
      <c r="AK160" s="5" t="s">
        <v>113</v>
      </c>
      <c r="AL160" s="5" t="s">
        <v>113</v>
      </c>
      <c r="AM160" s="4" t="s">
        <v>134</v>
      </c>
    </row>
    <row r="161" spans="1:39" x14ac:dyDescent="0.35">
      <c r="A161" s="5" t="s">
        <v>108</v>
      </c>
      <c r="B161" s="9" t="str">
        <f>VLOOKUP(D161,Auxiliar!A:C,2,0)</f>
        <v>MT MERCADO CURIO</v>
      </c>
      <c r="C161" s="5" t="str">
        <f>VLOOKUP(D161,Auxiliar!A:C,3,0)</f>
        <v>Luisa</v>
      </c>
      <c r="D161" s="9" t="s">
        <v>61</v>
      </c>
      <c r="E161" s="16">
        <v>0</v>
      </c>
      <c r="F161" s="24">
        <v>0</v>
      </c>
      <c r="G161" s="53">
        <v>0</v>
      </c>
      <c r="H161" s="10">
        <v>0</v>
      </c>
      <c r="I161" s="10">
        <v>0</v>
      </c>
      <c r="J161" s="10">
        <v>0</v>
      </c>
      <c r="K161" s="10">
        <v>0</v>
      </c>
      <c r="L161" s="10">
        <v>0</v>
      </c>
      <c r="M161" s="10">
        <v>0</v>
      </c>
      <c r="N161" s="11">
        <v>0</v>
      </c>
      <c r="O161" s="12">
        <v>2.5899999999999999E-2</v>
      </c>
      <c r="P161" s="11">
        <v>3.6400000000000002E-2</v>
      </c>
      <c r="Q161" s="35">
        <v>0</v>
      </c>
      <c r="R161" s="12">
        <v>0</v>
      </c>
      <c r="S161" s="10">
        <v>0</v>
      </c>
      <c r="T161" s="10">
        <v>0</v>
      </c>
      <c r="U161" s="22">
        <v>1</v>
      </c>
      <c r="V161" s="10">
        <v>0</v>
      </c>
      <c r="W161" s="10">
        <v>0</v>
      </c>
      <c r="X161" s="40">
        <v>0</v>
      </c>
      <c r="Y161" s="39">
        <v>0</v>
      </c>
      <c r="Z161" s="15">
        <v>6.2300000000000001E-2</v>
      </c>
      <c r="AA161" s="10">
        <v>0</v>
      </c>
      <c r="AB161" s="10">
        <v>244.51567999999992</v>
      </c>
      <c r="AC161" s="43">
        <v>0</v>
      </c>
      <c r="AD161" s="43">
        <v>0</v>
      </c>
      <c r="AE161" s="44">
        <v>0</v>
      </c>
      <c r="AF161" s="10">
        <v>0</v>
      </c>
      <c r="AG161" s="10">
        <v>6520.6734200000001</v>
      </c>
      <c r="AH161" s="12">
        <v>0</v>
      </c>
      <c r="AI161" s="10">
        <v>0</v>
      </c>
      <c r="AJ161" s="10">
        <v>0</v>
      </c>
      <c r="AK161" s="5" t="s">
        <v>113</v>
      </c>
      <c r="AL161" s="5" t="s">
        <v>113</v>
      </c>
      <c r="AM161" s="4" t="s">
        <v>134</v>
      </c>
    </row>
    <row r="162" spans="1:39" x14ac:dyDescent="0.35">
      <c r="A162" s="5" t="s">
        <v>108</v>
      </c>
      <c r="B162" s="9" t="str">
        <f>VLOOKUP(D162,Auxiliar!A:C,2,0)</f>
        <v>AC ARASUPER</v>
      </c>
      <c r="C162" s="5" t="str">
        <f>VLOOKUP(D162,Auxiliar!A:C,3,0)</f>
        <v>Luisa</v>
      </c>
      <c r="D162" s="9" t="s">
        <v>117</v>
      </c>
      <c r="E162" s="16">
        <v>0</v>
      </c>
      <c r="F162" s="24">
        <v>0</v>
      </c>
      <c r="G162" s="53">
        <v>0</v>
      </c>
      <c r="H162" s="10">
        <v>0</v>
      </c>
      <c r="I162" s="10">
        <v>0</v>
      </c>
      <c r="J162" s="10">
        <v>0</v>
      </c>
      <c r="K162" s="10">
        <v>0</v>
      </c>
      <c r="L162" s="10">
        <v>0</v>
      </c>
      <c r="M162" s="10">
        <v>0</v>
      </c>
      <c r="N162" s="11">
        <v>0</v>
      </c>
      <c r="O162" s="12">
        <v>2.5899999999999999E-2</v>
      </c>
      <c r="P162" s="11">
        <v>3.6400000000000002E-2</v>
      </c>
      <c r="Q162" s="35">
        <v>0</v>
      </c>
      <c r="R162" s="12">
        <v>0</v>
      </c>
      <c r="S162" s="10">
        <v>0</v>
      </c>
      <c r="T162" s="10">
        <v>0</v>
      </c>
      <c r="U162" s="22">
        <v>1</v>
      </c>
      <c r="V162" s="10">
        <v>0</v>
      </c>
      <c r="W162" s="10">
        <v>0</v>
      </c>
      <c r="X162" s="40">
        <v>0</v>
      </c>
      <c r="Y162" s="39">
        <v>0</v>
      </c>
      <c r="Z162" s="15">
        <v>6.2300000000000001E-2</v>
      </c>
      <c r="AA162" s="10">
        <v>0</v>
      </c>
      <c r="AB162" s="10">
        <v>244.51567999999992</v>
      </c>
      <c r="AC162" s="43">
        <v>0</v>
      </c>
      <c r="AD162" s="43">
        <v>0</v>
      </c>
      <c r="AE162" s="44">
        <v>0</v>
      </c>
      <c r="AF162" s="10">
        <v>0</v>
      </c>
      <c r="AG162" s="10">
        <v>6520.6734200000001</v>
      </c>
      <c r="AH162" s="12">
        <v>0</v>
      </c>
      <c r="AI162" s="10">
        <v>0</v>
      </c>
      <c r="AJ162" s="10">
        <v>0</v>
      </c>
      <c r="AK162" s="5" t="s">
        <v>113</v>
      </c>
      <c r="AL162" s="5" t="s">
        <v>113</v>
      </c>
      <c r="AM162" s="4" t="s">
        <v>134</v>
      </c>
    </row>
    <row r="163" spans="1:39" x14ac:dyDescent="0.35">
      <c r="A163" s="5" t="s">
        <v>108</v>
      </c>
      <c r="B163" s="9" t="str">
        <f>VLOOKUP(D163,Auxiliar!A:C,2,0)</f>
        <v>SP DUFRY</v>
      </c>
      <c r="C163" s="5" t="str">
        <f>VLOOKUP(D163,Auxiliar!A:C,3,0)</f>
        <v>Luisa</v>
      </c>
      <c r="D163" s="9" t="s">
        <v>65</v>
      </c>
      <c r="E163" s="16">
        <v>0.6096748326049477</v>
      </c>
      <c r="F163" s="24">
        <v>49.881999999999991</v>
      </c>
      <c r="G163" s="53">
        <v>0</v>
      </c>
      <c r="H163" s="10">
        <v>49.881999999999991</v>
      </c>
      <c r="I163" s="10">
        <v>38.519448599999997</v>
      </c>
      <c r="J163" s="10">
        <v>30.411799999999996</v>
      </c>
      <c r="K163" s="10">
        <v>5</v>
      </c>
      <c r="L163" s="10">
        <v>0</v>
      </c>
      <c r="M163" s="10">
        <v>3.1076485999999997</v>
      </c>
      <c r="N163" s="11">
        <v>0</v>
      </c>
      <c r="O163" s="12">
        <v>2.5899999999999999E-2</v>
      </c>
      <c r="P163" s="11">
        <v>3.6400000000000002E-2</v>
      </c>
      <c r="Q163" s="35">
        <v>11.362551399999994</v>
      </c>
      <c r="R163" s="12">
        <v>0.22778860911751725</v>
      </c>
      <c r="S163" s="10">
        <v>0</v>
      </c>
      <c r="T163" s="10">
        <v>0</v>
      </c>
      <c r="U163" s="22">
        <v>1</v>
      </c>
      <c r="V163" s="10">
        <v>0</v>
      </c>
      <c r="W163" s="10">
        <v>0</v>
      </c>
      <c r="X163" s="40">
        <v>15.242732866220365</v>
      </c>
      <c r="Y163" s="39">
        <v>15.242732866220365</v>
      </c>
      <c r="Z163" s="15">
        <v>0.67197483260494772</v>
      </c>
      <c r="AA163" s="10">
        <v>5</v>
      </c>
      <c r="AB163" s="10">
        <v>244.51567999999992</v>
      </c>
      <c r="AC163" s="43">
        <v>0.2040032770086565</v>
      </c>
      <c r="AD163" s="43">
        <v>7.6498233828125057E-3</v>
      </c>
      <c r="AE163" s="44">
        <v>0</v>
      </c>
      <c r="AF163" s="10">
        <v>0</v>
      </c>
      <c r="AG163" s="10">
        <v>6520.6734200000001</v>
      </c>
      <c r="AH163" s="12">
        <v>7.6498233828125057E-3</v>
      </c>
      <c r="AI163" s="10">
        <v>0</v>
      </c>
      <c r="AJ163" s="10">
        <v>0</v>
      </c>
      <c r="AK163" s="5" t="s">
        <v>113</v>
      </c>
      <c r="AL163" s="5" t="s">
        <v>113</v>
      </c>
      <c r="AM163" s="4" t="s">
        <v>134</v>
      </c>
    </row>
    <row r="164" spans="1:39" x14ac:dyDescent="0.35">
      <c r="A164" s="5" t="s">
        <v>108</v>
      </c>
      <c r="B164" s="9" t="str">
        <f>VLOOKUP(D164,Auxiliar!A:C,2,0)</f>
        <v>BA HIPERIDEAL</v>
      </c>
      <c r="C164" s="5" t="str">
        <f>VLOOKUP(D164,Auxiliar!A:C,3,0)</f>
        <v>Luiz</v>
      </c>
      <c r="D164" s="9" t="s">
        <v>5</v>
      </c>
      <c r="E164" s="16">
        <v>0.55514382524691808</v>
      </c>
      <c r="F164" s="24">
        <v>166.452</v>
      </c>
      <c r="G164" s="53">
        <v>5.2</v>
      </c>
      <c r="H164" s="10">
        <v>161.25200000000001</v>
      </c>
      <c r="I164" s="10">
        <v>133.06329238497432</v>
      </c>
      <c r="J164" s="10">
        <v>92.404800000000009</v>
      </c>
      <c r="K164" s="10">
        <v>13.320363164721142</v>
      </c>
      <c r="L164" s="10">
        <v>8.6455696202531662</v>
      </c>
      <c r="M164" s="10">
        <v>18.692559599999999</v>
      </c>
      <c r="N164" s="11">
        <v>0.05</v>
      </c>
      <c r="O164" s="12">
        <v>2.5899999999999999E-2</v>
      </c>
      <c r="P164" s="11">
        <v>3.6400000000000002E-2</v>
      </c>
      <c r="Q164" s="35">
        <v>28.188707615025692</v>
      </c>
      <c r="R164" s="12">
        <v>0.17481152243088885</v>
      </c>
      <c r="S164" s="10">
        <v>2.8867478912839739</v>
      </c>
      <c r="T164" s="10">
        <v>3.1240237425804437E-2</v>
      </c>
      <c r="U164" s="22">
        <v>1</v>
      </c>
      <c r="V164" s="10">
        <v>26</v>
      </c>
      <c r="W164" s="10">
        <v>8.3225999999999996</v>
      </c>
      <c r="X164" s="40">
        <v>81.688252534010559</v>
      </c>
      <c r="Y164" s="39">
        <v>3.1418558666927137</v>
      </c>
      <c r="Z164" s="15">
        <v>0.66744382524691803</v>
      </c>
      <c r="AA164" s="10">
        <v>21.965932784974306</v>
      </c>
      <c r="AB164" s="10">
        <v>2233.6540600000003</v>
      </c>
      <c r="AC164" s="43">
        <v>7.4520044522919535E-2</v>
      </c>
      <c r="AD164" s="43">
        <v>2.5526811309007406E-2</v>
      </c>
      <c r="AE164" s="44">
        <v>1645.5696202531647</v>
      </c>
      <c r="AF164" s="10">
        <v>7000</v>
      </c>
      <c r="AG164" s="10">
        <v>6520.6734200000001</v>
      </c>
      <c r="AH164" s="12">
        <v>2.5526811309007406E-2</v>
      </c>
      <c r="AI164" s="10">
        <v>13320.363164721142</v>
      </c>
      <c r="AJ164" s="10">
        <v>8645.5696202531653</v>
      </c>
      <c r="AK164" s="5" t="s">
        <v>29</v>
      </c>
      <c r="AL164" s="5" t="s">
        <v>29</v>
      </c>
      <c r="AM164" s="4" t="s">
        <v>134</v>
      </c>
    </row>
    <row r="165" spans="1:39" x14ac:dyDescent="0.35">
      <c r="A165" s="5" t="s">
        <v>108</v>
      </c>
      <c r="B165" s="9" t="str">
        <f>VLOOKUP(D165,Auxiliar!A:C,2,0)</f>
        <v>CE MERCADINHO SÃO LUIZ</v>
      </c>
      <c r="C165" s="5" t="str">
        <f>VLOOKUP(D165,Auxiliar!A:C,3,0)</f>
        <v>Luiz</v>
      </c>
      <c r="D165" s="9" t="s">
        <v>6</v>
      </c>
      <c r="E165" s="16">
        <v>0</v>
      </c>
      <c r="F165" s="24">
        <v>0</v>
      </c>
      <c r="G165" s="53">
        <v>32.99</v>
      </c>
      <c r="H165" s="10">
        <v>-32.99</v>
      </c>
      <c r="I165" s="10">
        <v>19.663481587285951</v>
      </c>
      <c r="J165" s="10">
        <v>0</v>
      </c>
      <c r="K165" s="10">
        <v>11.271076523994813</v>
      </c>
      <c r="L165" s="10">
        <v>8.3924050632911378</v>
      </c>
      <c r="M165" s="10">
        <v>0</v>
      </c>
      <c r="N165" s="11">
        <v>0.05</v>
      </c>
      <c r="O165" s="12">
        <v>2.5899999999999999E-2</v>
      </c>
      <c r="P165" s="11">
        <v>3.6400000000000002E-2</v>
      </c>
      <c r="Q165" s="35">
        <v>-52.653481587285953</v>
      </c>
      <c r="R165" s="12">
        <v>1.5960436977049393</v>
      </c>
      <c r="S165" s="10">
        <v>0</v>
      </c>
      <c r="T165" s="10">
        <v>0</v>
      </c>
      <c r="U165" s="22">
        <v>1</v>
      </c>
      <c r="V165" s="10">
        <v>22</v>
      </c>
      <c r="W165" s="10">
        <v>0</v>
      </c>
      <c r="X165" s="40">
        <v>59.314499929352202</v>
      </c>
      <c r="Y165" s="39">
        <v>2.6961136331523727</v>
      </c>
      <c r="Z165" s="15">
        <v>0.1123</v>
      </c>
      <c r="AA165" s="10">
        <v>19.663481587285951</v>
      </c>
      <c r="AB165" s="10">
        <v>2233.6540600000003</v>
      </c>
      <c r="AC165" s="43">
        <v>0</v>
      </c>
      <c r="AD165" s="43">
        <v>0</v>
      </c>
      <c r="AE165" s="44">
        <v>1392.4050632911394</v>
      </c>
      <c r="AF165" s="10">
        <v>7000</v>
      </c>
      <c r="AG165" s="10">
        <v>6520.6734200000001</v>
      </c>
      <c r="AH165" s="12">
        <v>0</v>
      </c>
      <c r="AI165" s="10">
        <v>11271.076523994812</v>
      </c>
      <c r="AJ165" s="10">
        <v>8392.4050632911385</v>
      </c>
      <c r="AK165" s="5" t="s">
        <v>29</v>
      </c>
      <c r="AL165" s="5" t="s">
        <v>29</v>
      </c>
      <c r="AM165" s="4" t="s">
        <v>134</v>
      </c>
    </row>
    <row r="166" spans="1:39" x14ac:dyDescent="0.35">
      <c r="A166" s="5" t="s">
        <v>108</v>
      </c>
      <c r="B166" s="9" t="str">
        <f>VLOOKUP(D166,Auxiliar!A:C,2,0)</f>
        <v>DF ASSAI</v>
      </c>
      <c r="C166" s="5" t="str">
        <f>VLOOKUP(D166,Auxiliar!A:C,3,0)</f>
        <v>Luiz</v>
      </c>
      <c r="D166" s="9" t="s">
        <v>30</v>
      </c>
      <c r="E166" s="16">
        <v>0.51546916880452132</v>
      </c>
      <c r="F166" s="24">
        <v>66.827119999999965</v>
      </c>
      <c r="G166" s="53">
        <v>52.183</v>
      </c>
      <c r="H166" s="10">
        <v>14.644119999999965</v>
      </c>
      <c r="I166" s="10">
        <v>41.713100773688332</v>
      </c>
      <c r="J166" s="10">
        <v>34.447319999999984</v>
      </c>
      <c r="K166" s="10">
        <v>2.0492866407263297</v>
      </c>
      <c r="L166" s="10">
        <v>1.0531645569620252</v>
      </c>
      <c r="M166" s="10">
        <v>4.163329575999998</v>
      </c>
      <c r="N166" s="11">
        <v>0</v>
      </c>
      <c r="O166" s="12">
        <v>2.5899999999999999E-2</v>
      </c>
      <c r="P166" s="11">
        <v>3.6400000000000002E-2</v>
      </c>
      <c r="Q166" s="35">
        <v>-27.068980773688367</v>
      </c>
      <c r="R166" s="12">
        <v>-1.8484539032518466</v>
      </c>
      <c r="S166" s="10">
        <v>26.898727635726335</v>
      </c>
      <c r="T166" s="10">
        <v>0.78086561264349008</v>
      </c>
      <c r="U166" s="22">
        <v>1</v>
      </c>
      <c r="V166" s="10">
        <v>4</v>
      </c>
      <c r="W166" s="10">
        <v>0</v>
      </c>
      <c r="X166" s="40">
        <v>130.93655676719885</v>
      </c>
      <c r="Y166" s="39">
        <v>32.734139191799713</v>
      </c>
      <c r="Z166" s="15">
        <v>0.57776916880452134</v>
      </c>
      <c r="AA166" s="10">
        <v>3.1024511976883549</v>
      </c>
      <c r="AB166" s="10">
        <v>2233.6540600000003</v>
      </c>
      <c r="AC166" s="43">
        <v>2.9918294509759472E-2</v>
      </c>
      <c r="AD166" s="43">
        <v>1.0248499763081214E-2</v>
      </c>
      <c r="AE166" s="44">
        <v>253.16455696202533</v>
      </c>
      <c r="AF166" s="10">
        <v>800</v>
      </c>
      <c r="AG166" s="10">
        <v>6520.6734200000001</v>
      </c>
      <c r="AH166" s="12">
        <v>1.0248499763081214E-2</v>
      </c>
      <c r="AI166" s="10">
        <v>2049.2866407263296</v>
      </c>
      <c r="AJ166" s="10">
        <v>1053.1645569620252</v>
      </c>
      <c r="AK166" s="5" t="s">
        <v>29</v>
      </c>
      <c r="AL166" s="5" t="s">
        <v>29</v>
      </c>
      <c r="AM166" s="4" t="s">
        <v>134</v>
      </c>
    </row>
    <row r="167" spans="1:39" x14ac:dyDescent="0.35">
      <c r="A167" s="5" t="s">
        <v>108</v>
      </c>
      <c r="B167" s="9" t="str">
        <f>VLOOKUP(D167,Auxiliar!A:C,2,0)</f>
        <v>DF DONA</v>
      </c>
      <c r="C167" s="5" t="str">
        <f>VLOOKUP(D167,Auxiliar!A:C,3,0)</f>
        <v>Luiz</v>
      </c>
      <c r="D167" s="9" t="s">
        <v>33</v>
      </c>
      <c r="E167" s="16">
        <v>0.50302812886219339</v>
      </c>
      <c r="F167" s="24">
        <v>81.677100000000124</v>
      </c>
      <c r="G167" s="53">
        <v>0.39199000000000001</v>
      </c>
      <c r="H167" s="10">
        <v>81.285110000000117</v>
      </c>
      <c r="I167" s="10">
        <v>62.585705503487915</v>
      </c>
      <c r="J167" s="10">
        <v>41.085878783890315</v>
      </c>
      <c r="K167" s="10">
        <v>9.2217898832684817</v>
      </c>
      <c r="L167" s="10">
        <v>4.7392405063291134</v>
      </c>
      <c r="M167" s="10">
        <v>7.5387963300000109</v>
      </c>
      <c r="N167" s="11">
        <v>0.03</v>
      </c>
      <c r="O167" s="12">
        <v>2.5899999999999999E-2</v>
      </c>
      <c r="P167" s="11">
        <v>3.6400000000000002E-2</v>
      </c>
      <c r="Q167" s="35">
        <v>18.699404496512201</v>
      </c>
      <c r="R167" s="12">
        <v>0.23004710821591032</v>
      </c>
      <c r="S167" s="10">
        <v>0.1971819962326912</v>
      </c>
      <c r="T167" s="10">
        <v>4.7992644205046382E-3</v>
      </c>
      <c r="U167" s="22">
        <v>1</v>
      </c>
      <c r="V167" s="10">
        <v>18</v>
      </c>
      <c r="W167" s="10">
        <v>2.4503130000000035</v>
      </c>
      <c r="X167" s="40">
        <v>35.46829274108314</v>
      </c>
      <c r="Y167" s="39">
        <v>1.9704607078379521</v>
      </c>
      <c r="Z167" s="15">
        <v>0.59532812886219344</v>
      </c>
      <c r="AA167" s="10">
        <v>13.961030389597596</v>
      </c>
      <c r="AB167" s="10">
        <v>2233.6540600000003</v>
      </c>
      <c r="AC167" s="43">
        <v>3.656658453189484E-2</v>
      </c>
      <c r="AD167" s="43">
        <v>1.252586883886605E-2</v>
      </c>
      <c r="AE167" s="44">
        <v>1139.2405063291139</v>
      </c>
      <c r="AF167" s="10">
        <v>3600</v>
      </c>
      <c r="AG167" s="10">
        <v>6520.6734200000001</v>
      </c>
      <c r="AH167" s="12">
        <v>1.252586883886605E-2</v>
      </c>
      <c r="AI167" s="10">
        <v>9221.7898832684823</v>
      </c>
      <c r="AJ167" s="10">
        <v>4739.2405063291135</v>
      </c>
      <c r="AK167" s="5" t="s">
        <v>29</v>
      </c>
      <c r="AL167" s="5" t="s">
        <v>29</v>
      </c>
      <c r="AM167" s="4" t="s">
        <v>134</v>
      </c>
    </row>
    <row r="168" spans="1:39" x14ac:dyDescent="0.35">
      <c r="A168" s="5" t="s">
        <v>108</v>
      </c>
      <c r="B168" s="9" t="str">
        <f>VLOOKUP(D168,Auxiliar!A:C,2,0)</f>
        <v>DF SUPER ADEGA</v>
      </c>
      <c r="C168" s="5" t="str">
        <f>VLOOKUP(D168,Auxiliar!A:C,3,0)</f>
        <v>Luiz</v>
      </c>
      <c r="D168" s="9" t="s">
        <v>34</v>
      </c>
      <c r="E168" s="16">
        <v>0</v>
      </c>
      <c r="F168" s="24">
        <v>0</v>
      </c>
      <c r="G168" s="53">
        <v>0</v>
      </c>
      <c r="H168" s="10">
        <v>0</v>
      </c>
      <c r="I168" s="10">
        <v>9.8780639971104431</v>
      </c>
      <c r="J168" s="10">
        <v>0</v>
      </c>
      <c r="K168" s="10">
        <v>2.561608300907912</v>
      </c>
      <c r="L168" s="10">
        <v>7.3164556962025316</v>
      </c>
      <c r="M168" s="10">
        <v>0</v>
      </c>
      <c r="N168" s="11">
        <v>0</v>
      </c>
      <c r="O168" s="12">
        <v>2.5899999999999999E-2</v>
      </c>
      <c r="P168" s="11">
        <v>3.6400000000000002E-2</v>
      </c>
      <c r="Q168" s="35">
        <v>-9.8780639971104431</v>
      </c>
      <c r="R168" s="12">
        <v>0</v>
      </c>
      <c r="S168" s="10">
        <v>0</v>
      </c>
      <c r="T168" s="10">
        <v>0</v>
      </c>
      <c r="U168" s="22">
        <v>1</v>
      </c>
      <c r="V168" s="10">
        <v>5</v>
      </c>
      <c r="W168" s="10">
        <v>0</v>
      </c>
      <c r="X168" s="40">
        <v>10.534354268007299</v>
      </c>
      <c r="Y168" s="39">
        <v>2.1068708536014595</v>
      </c>
      <c r="Z168" s="15">
        <v>6.2300000000000001E-2</v>
      </c>
      <c r="AA168" s="10">
        <v>9.8780639971104431</v>
      </c>
      <c r="AB168" s="10">
        <v>2233.6540600000003</v>
      </c>
      <c r="AC168" s="43">
        <v>0</v>
      </c>
      <c r="AD168" s="43">
        <v>0</v>
      </c>
      <c r="AE168" s="44">
        <v>316.45569620253167</v>
      </c>
      <c r="AF168" s="10">
        <v>7000</v>
      </c>
      <c r="AG168" s="10">
        <v>6520.6734200000001</v>
      </c>
      <c r="AH168" s="12">
        <v>0</v>
      </c>
      <c r="AI168" s="10">
        <v>2561.6083009079121</v>
      </c>
      <c r="AJ168" s="10">
        <v>7316.4556962025317</v>
      </c>
      <c r="AK168" s="5" t="s">
        <v>29</v>
      </c>
      <c r="AL168" s="5" t="s">
        <v>29</v>
      </c>
      <c r="AM168" s="4" t="s">
        <v>134</v>
      </c>
    </row>
    <row r="169" spans="1:39" x14ac:dyDescent="0.35">
      <c r="A169" s="5" t="s">
        <v>108</v>
      </c>
      <c r="B169" s="9" t="str">
        <f>VLOOKUP(D169,Auxiliar!A:C,2,0)</f>
        <v>ES Carone</v>
      </c>
      <c r="C169" s="5" t="str">
        <f>VLOOKUP(D169,Auxiliar!A:C,3,0)</f>
        <v>Luiz</v>
      </c>
      <c r="D169" s="9" t="s">
        <v>63</v>
      </c>
      <c r="E169" s="16">
        <v>0.56820945945945944</v>
      </c>
      <c r="F169" s="24">
        <v>118.29040000000001</v>
      </c>
      <c r="G169" s="53">
        <v>9.3743999999999996</v>
      </c>
      <c r="H169" s="10">
        <v>108.91600000000001</v>
      </c>
      <c r="I169" s="10">
        <v>84.707443358042042</v>
      </c>
      <c r="J169" s="10">
        <v>67.213724243243249</v>
      </c>
      <c r="K169" s="10">
        <v>4.6108949416342409</v>
      </c>
      <c r="L169" s="10">
        <v>1.9646202531645569</v>
      </c>
      <c r="M169" s="10">
        <v>10.91820392</v>
      </c>
      <c r="N169" s="11">
        <v>0.03</v>
      </c>
      <c r="O169" s="12">
        <v>2.5899999999999999E-2</v>
      </c>
      <c r="P169" s="11">
        <v>3.6400000000000002E-2</v>
      </c>
      <c r="Q169" s="35">
        <v>24.208556641957969</v>
      </c>
      <c r="R169" s="12">
        <v>0.22226813913436011</v>
      </c>
      <c r="S169" s="10">
        <v>5.3266227567567563</v>
      </c>
      <c r="T169" s="10">
        <v>7.9249034579306515E-2</v>
      </c>
      <c r="U169" s="22">
        <v>1</v>
      </c>
      <c r="V169" s="10">
        <v>9</v>
      </c>
      <c r="W169" s="10">
        <v>3.5487120000000001</v>
      </c>
      <c r="X169" s="40">
        <v>46.981913455977789</v>
      </c>
      <c r="Y169" s="39">
        <v>5.2202126062197545</v>
      </c>
      <c r="Z169" s="15">
        <v>0.66050945945945938</v>
      </c>
      <c r="AA169" s="10">
        <v>6.5755151947987978</v>
      </c>
      <c r="AB169" s="10">
        <v>2233.6540600000003</v>
      </c>
      <c r="AC169" s="43">
        <v>5.2958245467966507E-2</v>
      </c>
      <c r="AD169" s="43">
        <v>1.814082570631179E-2</v>
      </c>
      <c r="AE169" s="44">
        <v>569.62025316455697</v>
      </c>
      <c r="AF169" s="10">
        <v>1395</v>
      </c>
      <c r="AG169" s="10">
        <v>6520.6734200000001</v>
      </c>
      <c r="AH169" s="12">
        <v>1.814082570631179E-2</v>
      </c>
      <c r="AI169" s="10">
        <v>4610.8949416342411</v>
      </c>
      <c r="AJ169" s="10">
        <v>1964.620253164557</v>
      </c>
      <c r="AK169" s="5" t="s">
        <v>29</v>
      </c>
      <c r="AL169" s="5" t="s">
        <v>29</v>
      </c>
      <c r="AM169" s="4" t="s">
        <v>134</v>
      </c>
    </row>
    <row r="170" spans="1:39" x14ac:dyDescent="0.35">
      <c r="A170" s="5" t="s">
        <v>108</v>
      </c>
      <c r="B170" s="9" t="str">
        <f>VLOOKUP(D170,Auxiliar!A:C,2,0)</f>
        <v>DF ASSAI</v>
      </c>
      <c r="C170" s="5" t="str">
        <f>VLOOKUP(D170,Auxiliar!A:C,3,0)</f>
        <v>Luiz</v>
      </c>
      <c r="D170" s="9" t="s">
        <v>35</v>
      </c>
      <c r="E170" s="16">
        <v>0.51373561077706231</v>
      </c>
      <c r="F170" s="24">
        <v>22.551600000000001</v>
      </c>
      <c r="G170" s="53">
        <v>0</v>
      </c>
      <c r="H170" s="10">
        <v>22.551600000000001</v>
      </c>
      <c r="I170" s="10">
        <v>13.732797479422089</v>
      </c>
      <c r="J170" s="10">
        <v>11.585559999999999</v>
      </c>
      <c r="K170" s="10">
        <v>0.51232166018158243</v>
      </c>
      <c r="L170" s="10">
        <v>0.22995113924050634</v>
      </c>
      <c r="M170" s="10">
        <v>1.40496468</v>
      </c>
      <c r="N170" s="11">
        <v>0</v>
      </c>
      <c r="O170" s="12">
        <v>2.5899999999999999E-2</v>
      </c>
      <c r="P170" s="11">
        <v>3.6400000000000002E-2</v>
      </c>
      <c r="Q170" s="35">
        <v>8.8188025205779113</v>
      </c>
      <c r="R170" s="12">
        <v>0.39104997075941</v>
      </c>
      <c r="S170" s="10">
        <v>0</v>
      </c>
      <c r="T170" s="10">
        <v>0</v>
      </c>
      <c r="U170" s="22">
        <v>1</v>
      </c>
      <c r="V170" s="10">
        <v>1</v>
      </c>
      <c r="W170" s="10">
        <v>0</v>
      </c>
      <c r="X170" s="40">
        <v>1.7507904396936782</v>
      </c>
      <c r="Y170" s="39">
        <v>1.7507904396936782</v>
      </c>
      <c r="Z170" s="15">
        <v>0.57603561077706233</v>
      </c>
      <c r="AA170" s="10">
        <v>0.74227279942208879</v>
      </c>
      <c r="AB170" s="10">
        <v>2233.6540600000003</v>
      </c>
      <c r="AC170" s="43">
        <v>1.0096281426856224E-2</v>
      </c>
      <c r="AD170" s="43">
        <v>3.4584771460613958E-3</v>
      </c>
      <c r="AE170" s="44">
        <v>63.291139240506332</v>
      </c>
      <c r="AF170" s="10">
        <v>166.66</v>
      </c>
      <c r="AG170" s="10">
        <v>6520.6734200000001</v>
      </c>
      <c r="AH170" s="12">
        <v>3.4584771460613958E-3</v>
      </c>
      <c r="AI170" s="10">
        <v>512.32166018158239</v>
      </c>
      <c r="AJ170" s="10">
        <v>229.95113924050634</v>
      </c>
      <c r="AK170" s="5" t="s">
        <v>29</v>
      </c>
      <c r="AL170" s="5" t="s">
        <v>29</v>
      </c>
      <c r="AM170" s="4" t="s">
        <v>134</v>
      </c>
    </row>
    <row r="171" spans="1:39" x14ac:dyDescent="0.35">
      <c r="A171" s="5" t="s">
        <v>108</v>
      </c>
      <c r="B171" s="9" t="str">
        <f>VLOOKUP(D171,Auxiliar!A:C,2,0)</f>
        <v>PE MATEUS</v>
      </c>
      <c r="C171" s="5" t="str">
        <f>VLOOKUP(D171,Auxiliar!A:C,3,0)</f>
        <v>Luiz</v>
      </c>
      <c r="D171" s="9" t="s">
        <v>36</v>
      </c>
      <c r="E171" s="16">
        <v>0</v>
      </c>
      <c r="F171" s="24">
        <v>0</v>
      </c>
      <c r="G171" s="53">
        <v>0</v>
      </c>
      <c r="H171" s="10">
        <v>0</v>
      </c>
      <c r="I171" s="10">
        <v>2.1768383982662658</v>
      </c>
      <c r="J171" s="10">
        <v>0</v>
      </c>
      <c r="K171" s="10">
        <v>1.536964980544747</v>
      </c>
      <c r="L171" s="10">
        <v>0.63987341772151896</v>
      </c>
      <c r="M171" s="10">
        <v>0</v>
      </c>
      <c r="N171" s="11">
        <v>0.03</v>
      </c>
      <c r="O171" s="12">
        <v>2.5899999999999999E-2</v>
      </c>
      <c r="P171" s="11">
        <v>3.6400000000000002E-2</v>
      </c>
      <c r="Q171" s="35">
        <v>-2.1768383982662658</v>
      </c>
      <c r="R171" s="12">
        <v>0</v>
      </c>
      <c r="S171" s="10">
        <v>0</v>
      </c>
      <c r="T171" s="10">
        <v>0</v>
      </c>
      <c r="U171" s="22">
        <v>1</v>
      </c>
      <c r="V171" s="10">
        <v>3</v>
      </c>
      <c r="W171" s="10">
        <v>0</v>
      </c>
      <c r="X171" s="40">
        <v>2.3981914710435892</v>
      </c>
      <c r="Y171" s="39">
        <v>0.79939715701452974</v>
      </c>
      <c r="Z171" s="15">
        <v>9.2299999999999993E-2</v>
      </c>
      <c r="AA171" s="10">
        <v>2.1768383982662658</v>
      </c>
      <c r="AB171" s="10">
        <v>2233.6540600000003</v>
      </c>
      <c r="AC171" s="43">
        <v>0</v>
      </c>
      <c r="AD171" s="43">
        <v>0</v>
      </c>
      <c r="AE171" s="44">
        <v>189.87341772151899</v>
      </c>
      <c r="AF171" s="10">
        <v>450</v>
      </c>
      <c r="AG171" s="10">
        <v>6520.6734200000001</v>
      </c>
      <c r="AH171" s="12">
        <v>0</v>
      </c>
      <c r="AI171" s="10">
        <v>1536.964980544747</v>
      </c>
      <c r="AJ171" s="10">
        <v>639.87341772151899</v>
      </c>
      <c r="AK171" s="5" t="s">
        <v>29</v>
      </c>
      <c r="AL171" s="5" t="s">
        <v>29</v>
      </c>
      <c r="AM171" s="4" t="s">
        <v>134</v>
      </c>
    </row>
    <row r="172" spans="1:39" x14ac:dyDescent="0.35">
      <c r="A172" s="5" t="s">
        <v>108</v>
      </c>
      <c r="B172" s="9" t="str">
        <f>VLOOKUP(D172,Auxiliar!A:C,2,0)</f>
        <v>MG ASSAI</v>
      </c>
      <c r="C172" s="5" t="str">
        <f>VLOOKUP(D172,Auxiliar!A:C,3,0)</f>
        <v>Luiz</v>
      </c>
      <c r="D172" s="9" t="s">
        <v>37</v>
      </c>
      <c r="E172" s="16">
        <v>0.519802851610632</v>
      </c>
      <c r="F172" s="24">
        <v>45.447999999999986</v>
      </c>
      <c r="G172" s="53">
        <v>0</v>
      </c>
      <c r="H172" s="10">
        <v>45.447999999999986</v>
      </c>
      <c r="I172" s="10">
        <v>31.490662755903269</v>
      </c>
      <c r="J172" s="10">
        <v>23.623999999999995</v>
      </c>
      <c r="K172" s="10">
        <v>3.5862516212710767</v>
      </c>
      <c r="L172" s="10">
        <v>1.4490007346321963</v>
      </c>
      <c r="M172" s="10">
        <v>2.8314103999999993</v>
      </c>
      <c r="N172" s="11">
        <v>0</v>
      </c>
      <c r="O172" s="12">
        <v>2.5899999999999999E-2</v>
      </c>
      <c r="P172" s="11">
        <v>3.6400000000000002E-2</v>
      </c>
      <c r="Q172" s="35">
        <v>13.957337244096717</v>
      </c>
      <c r="R172" s="12">
        <v>0.30710564258265977</v>
      </c>
      <c r="S172" s="10">
        <v>0</v>
      </c>
      <c r="T172" s="10">
        <v>0</v>
      </c>
      <c r="U172" s="22">
        <v>1</v>
      </c>
      <c r="V172" s="10">
        <v>7</v>
      </c>
      <c r="W172" s="10">
        <v>0</v>
      </c>
      <c r="X172" s="40">
        <v>12.049023007957377</v>
      </c>
      <c r="Y172" s="39">
        <v>1.7212890011367681</v>
      </c>
      <c r="Z172" s="15">
        <v>0.58210285161063202</v>
      </c>
      <c r="AA172" s="10">
        <v>5.0352523559032729</v>
      </c>
      <c r="AB172" s="10">
        <v>2233.6540600000003</v>
      </c>
      <c r="AC172" s="43">
        <v>2.0346928745089549E-2</v>
      </c>
      <c r="AD172" s="43">
        <v>6.9698322661894616E-3</v>
      </c>
      <c r="AE172" s="44">
        <v>443.03797468354435</v>
      </c>
      <c r="AF172" s="10">
        <v>1005.9627599486521</v>
      </c>
      <c r="AG172" s="10">
        <v>6520.6734200000001</v>
      </c>
      <c r="AH172" s="12">
        <v>6.9698322661894616E-3</v>
      </c>
      <c r="AI172" s="10">
        <v>3586.2516212710766</v>
      </c>
      <c r="AJ172" s="10">
        <v>1449.0007346321963</v>
      </c>
      <c r="AK172" s="5" t="s">
        <v>29</v>
      </c>
      <c r="AL172" s="5" t="s">
        <v>29</v>
      </c>
      <c r="AM172" s="4" t="s">
        <v>134</v>
      </c>
    </row>
    <row r="173" spans="1:39" x14ac:dyDescent="0.35">
      <c r="A173" s="5" t="s">
        <v>108</v>
      </c>
      <c r="B173" s="9" t="str">
        <f>VLOOKUP(D173,Auxiliar!A:C,2,0)</f>
        <v>MG BAHAMAS</v>
      </c>
      <c r="C173" s="5" t="str">
        <f>VLOOKUP(D173,Auxiliar!A:C,3,0)</f>
        <v>Luiz</v>
      </c>
      <c r="D173" s="9" t="s">
        <v>38</v>
      </c>
      <c r="E173" s="16">
        <v>0.53809432543839253</v>
      </c>
      <c r="F173" s="24">
        <v>99.552360000000007</v>
      </c>
      <c r="G173" s="53">
        <v>26.553360000000001</v>
      </c>
      <c r="H173" s="10">
        <v>72.999000000000009</v>
      </c>
      <c r="I173" s="10">
        <v>114.71418498812415</v>
      </c>
      <c r="J173" s="10">
        <v>53.568560000000012</v>
      </c>
      <c r="K173" s="10">
        <v>35.350194552529182</v>
      </c>
      <c r="L173" s="10">
        <v>14.117938607594944</v>
      </c>
      <c r="M173" s="10">
        <v>11.677491828000001</v>
      </c>
      <c r="N173" s="11">
        <v>5.5E-2</v>
      </c>
      <c r="O173" s="12">
        <v>2.5899999999999999E-2</v>
      </c>
      <c r="P173" s="11">
        <v>3.6400000000000002E-2</v>
      </c>
      <c r="Q173" s="35">
        <v>-41.715184988124136</v>
      </c>
      <c r="R173" s="12">
        <v>-0.57144871831291022</v>
      </c>
      <c r="S173" s="10">
        <v>14.288212337322795</v>
      </c>
      <c r="T173" s="10">
        <v>0.26672757933614027</v>
      </c>
      <c r="U173" s="22">
        <v>1</v>
      </c>
      <c r="V173" s="10">
        <v>69</v>
      </c>
      <c r="W173" s="10">
        <v>5.4753798000000007</v>
      </c>
      <c r="X173" s="40">
        <v>220.60429868671022</v>
      </c>
      <c r="Y173" s="39">
        <v>3.1971637490827569</v>
      </c>
      <c r="Z173" s="15">
        <v>0.65539432543839249</v>
      </c>
      <c r="AA173" s="10">
        <v>49.468133160124125</v>
      </c>
      <c r="AB173" s="10">
        <v>2233.6540600000003</v>
      </c>
      <c r="AC173" s="43">
        <v>4.4569283033917974E-2</v>
      </c>
      <c r="AD173" s="43">
        <v>1.5267189995232119E-2</v>
      </c>
      <c r="AE173" s="44">
        <v>4367.0886075949365</v>
      </c>
      <c r="AF173" s="10">
        <v>9750.8500000000076</v>
      </c>
      <c r="AG173" s="10">
        <v>6520.6734200000001</v>
      </c>
      <c r="AH173" s="12">
        <v>1.5267189995232119E-2</v>
      </c>
      <c r="AI173" s="10">
        <v>35350.194552529181</v>
      </c>
      <c r="AJ173" s="10">
        <v>14117.938607594944</v>
      </c>
      <c r="AK173" s="5" t="s">
        <v>29</v>
      </c>
      <c r="AL173" s="5" t="s">
        <v>29</v>
      </c>
      <c r="AM173" s="4" t="s">
        <v>134</v>
      </c>
    </row>
    <row r="174" spans="1:39" x14ac:dyDescent="0.35">
      <c r="A174" s="5" t="s">
        <v>108</v>
      </c>
      <c r="B174" s="9" t="str">
        <f>VLOOKUP(D174,Auxiliar!A:C,2,0)</f>
        <v>MG BH</v>
      </c>
      <c r="C174" s="5" t="str">
        <f>VLOOKUP(D174,Auxiliar!A:C,3,0)</f>
        <v>Luiz</v>
      </c>
      <c r="D174" s="9" t="s">
        <v>39</v>
      </c>
      <c r="E174" s="16">
        <v>0.46155750403270873</v>
      </c>
      <c r="F174" s="24">
        <v>50.090399999999953</v>
      </c>
      <c r="G174" s="53">
        <v>29.024000000000001</v>
      </c>
      <c r="H174" s="10">
        <v>21.066399999999952</v>
      </c>
      <c r="I174" s="10">
        <v>107.57260368634134</v>
      </c>
      <c r="J174" s="10">
        <v>23.11959999999997</v>
      </c>
      <c r="K174" s="10">
        <v>53.281452658884568</v>
      </c>
      <c r="L174" s="10">
        <v>26.548207107456804</v>
      </c>
      <c r="M174" s="10">
        <v>4.6233439199999955</v>
      </c>
      <c r="N174" s="11">
        <v>0.03</v>
      </c>
      <c r="O174" s="12">
        <v>2.5899999999999999E-2</v>
      </c>
      <c r="P174" s="11">
        <v>3.6400000000000002E-2</v>
      </c>
      <c r="Q174" s="35">
        <v>-86.506203686341394</v>
      </c>
      <c r="R174" s="12">
        <v>-4.1063591162392052</v>
      </c>
      <c r="S174" s="10">
        <v>13.396244997045338</v>
      </c>
      <c r="T174" s="10">
        <v>0.5794323862456684</v>
      </c>
      <c r="U174" s="22">
        <v>1</v>
      </c>
      <c r="V174" s="10">
        <v>104</v>
      </c>
      <c r="W174" s="10">
        <v>1.5027119999999985</v>
      </c>
      <c r="X174" s="40">
        <v>243.9885479421398</v>
      </c>
      <c r="Y174" s="39">
        <v>2.3460437302128829</v>
      </c>
      <c r="Z174" s="15">
        <v>0.55385750403270873</v>
      </c>
      <c r="AA174" s="10">
        <v>79.829659766341365</v>
      </c>
      <c r="AB174" s="10">
        <v>2233.6540600000003</v>
      </c>
      <c r="AC174" s="43">
        <v>2.242531683711127E-2</v>
      </c>
      <c r="AD174" s="43">
        <v>7.6817832720105696E-3</v>
      </c>
      <c r="AE174" s="44">
        <v>6582.2784810126586</v>
      </c>
      <c r="AF174" s="10">
        <v>19965.928626444147</v>
      </c>
      <c r="AG174" s="10">
        <v>6520.6734200000001</v>
      </c>
      <c r="AH174" s="12">
        <v>7.6817832720105696E-3</v>
      </c>
      <c r="AI174" s="10">
        <v>53281.452658884569</v>
      </c>
      <c r="AJ174" s="10">
        <v>26548.207107456805</v>
      </c>
      <c r="AK174" s="5" t="s">
        <v>29</v>
      </c>
      <c r="AL174" s="5" t="s">
        <v>29</v>
      </c>
      <c r="AM174" s="4" t="s">
        <v>134</v>
      </c>
    </row>
    <row r="175" spans="1:39" x14ac:dyDescent="0.35">
      <c r="A175" s="5" t="s">
        <v>108</v>
      </c>
      <c r="B175" s="9" t="str">
        <f>VLOOKUP(D175,Auxiliar!A:C,2,0)</f>
        <v>MG EPA</v>
      </c>
      <c r="C175" s="5" t="str">
        <f>VLOOKUP(D175,Auxiliar!A:C,3,0)</f>
        <v>Luiz</v>
      </c>
      <c r="D175" s="9" t="s">
        <v>40</v>
      </c>
      <c r="E175" s="16">
        <v>0.54182089832012914</v>
      </c>
      <c r="F175" s="24">
        <v>72.55319999999999</v>
      </c>
      <c r="G175" s="53">
        <v>0</v>
      </c>
      <c r="H175" s="10">
        <v>72.55319999999999</v>
      </c>
      <c r="I175" s="10">
        <v>71.365882922571544</v>
      </c>
      <c r="J175" s="10">
        <v>39.310839999999985</v>
      </c>
      <c r="K175" s="10">
        <v>17.931258106355383</v>
      </c>
      <c r="L175" s="10">
        <v>7.4271244562161813</v>
      </c>
      <c r="M175" s="10">
        <v>6.6966603599999983</v>
      </c>
      <c r="N175" s="11">
        <v>0.03</v>
      </c>
      <c r="O175" s="12">
        <v>2.5899999999999999E-2</v>
      </c>
      <c r="P175" s="11">
        <v>3.6400000000000002E-2</v>
      </c>
      <c r="Q175" s="35">
        <v>1.1873170774284461</v>
      </c>
      <c r="R175" s="12">
        <v>1.6364778912969329E-2</v>
      </c>
      <c r="S175" s="10">
        <v>0</v>
      </c>
      <c r="T175" s="10">
        <v>0</v>
      </c>
      <c r="U175" s="22">
        <v>1</v>
      </c>
      <c r="V175" s="10">
        <v>35</v>
      </c>
      <c r="W175" s="10">
        <v>2.1765959999999995</v>
      </c>
      <c r="X175" s="40">
        <v>69.308092334716363</v>
      </c>
      <c r="Y175" s="39">
        <v>1.9802312095633248</v>
      </c>
      <c r="Z175" s="15">
        <v>0.63412089832012919</v>
      </c>
      <c r="AA175" s="10">
        <v>25.358382562571563</v>
      </c>
      <c r="AB175" s="10">
        <v>2233.6540600000003</v>
      </c>
      <c r="AC175" s="43">
        <v>3.2481842779181293E-2</v>
      </c>
      <c r="AD175" s="43">
        <v>1.1126642192732294E-2</v>
      </c>
      <c r="AE175" s="44">
        <v>2215.1898734177216</v>
      </c>
      <c r="AF175" s="10">
        <v>5211.9345827984598</v>
      </c>
      <c r="AG175" s="10">
        <v>6520.6734200000001</v>
      </c>
      <c r="AH175" s="12">
        <v>1.1126642192732294E-2</v>
      </c>
      <c r="AI175" s="10">
        <v>17931.258106355384</v>
      </c>
      <c r="AJ175" s="10">
        <v>7427.124456216181</v>
      </c>
      <c r="AK175" s="5" t="s">
        <v>29</v>
      </c>
      <c r="AL175" s="5" t="s">
        <v>29</v>
      </c>
      <c r="AM175" s="4" t="s">
        <v>134</v>
      </c>
    </row>
    <row r="176" spans="1:39" x14ac:dyDescent="0.35">
      <c r="A176" s="5" t="s">
        <v>108</v>
      </c>
      <c r="B176" s="9" t="str">
        <f>VLOOKUP(D176,Auxiliar!A:C,2,0)</f>
        <v>MG SUPERNOSSO</v>
      </c>
      <c r="C176" s="5" t="str">
        <f>VLOOKUP(D176,Auxiliar!A:C,3,0)</f>
        <v>Luiz</v>
      </c>
      <c r="D176" s="9" t="s">
        <v>41</v>
      </c>
      <c r="E176" s="16">
        <v>0.51783720006180367</v>
      </c>
      <c r="F176" s="24">
        <v>336.03255999999988</v>
      </c>
      <c r="G176" s="53">
        <v>170.78426000000002</v>
      </c>
      <c r="H176" s="10">
        <v>165.24829999999986</v>
      </c>
      <c r="I176" s="10">
        <v>229.24449960731144</v>
      </c>
      <c r="J176" s="10">
        <v>174.01015999999998</v>
      </c>
      <c r="K176" s="10">
        <v>16.906614785992222</v>
      </c>
      <c r="L176" s="10">
        <v>7.3119195333192515</v>
      </c>
      <c r="M176" s="10">
        <v>31.015805287999985</v>
      </c>
      <c r="N176" s="11">
        <v>0.03</v>
      </c>
      <c r="O176" s="12">
        <v>2.5899999999999999E-2</v>
      </c>
      <c r="P176" s="11">
        <v>3.6400000000000002E-2</v>
      </c>
      <c r="Q176" s="35">
        <v>-63.996199607311581</v>
      </c>
      <c r="R176" s="12">
        <v>-0.38727296805662531</v>
      </c>
      <c r="S176" s="10">
        <v>88.438443013027097</v>
      </c>
      <c r="T176" s="10">
        <v>0.50823723748674854</v>
      </c>
      <c r="U176" s="22">
        <v>1</v>
      </c>
      <c r="V176" s="10">
        <v>33</v>
      </c>
      <c r="W176" s="10">
        <v>10.080976799999997</v>
      </c>
      <c r="X176" s="40">
        <v>500.18312685956357</v>
      </c>
      <c r="Y176" s="39">
        <v>15.157064450289806</v>
      </c>
      <c r="Z176" s="15">
        <v>0.61013720006180372</v>
      </c>
      <c r="AA176" s="10">
        <v>24.218534319311473</v>
      </c>
      <c r="AB176" s="10">
        <v>2233.6540600000003</v>
      </c>
      <c r="AC176" s="43">
        <v>0.1504407356616359</v>
      </c>
      <c r="AD176" s="43">
        <v>5.1533413553473115E-2</v>
      </c>
      <c r="AE176" s="44">
        <v>2088.6075949367091</v>
      </c>
      <c r="AF176" s="10">
        <v>5223.3119383825415</v>
      </c>
      <c r="AG176" s="10">
        <v>6520.6734200000001</v>
      </c>
      <c r="AH176" s="12">
        <v>5.1533413553473115E-2</v>
      </c>
      <c r="AI176" s="10">
        <v>16906.61478599222</v>
      </c>
      <c r="AJ176" s="10">
        <v>7311.9195333192511</v>
      </c>
      <c r="AK176" s="5" t="s">
        <v>29</v>
      </c>
      <c r="AL176" s="5" t="s">
        <v>29</v>
      </c>
      <c r="AM176" s="4" t="s">
        <v>134</v>
      </c>
    </row>
    <row r="177" spans="1:39" x14ac:dyDescent="0.35">
      <c r="A177" s="5" t="s">
        <v>108</v>
      </c>
      <c r="B177" s="9" t="str">
        <f>VLOOKUP(D177,Auxiliar!A:C,2,0)</f>
        <v>MG VERDEMAR</v>
      </c>
      <c r="C177" s="5" t="str">
        <f>VLOOKUP(D177,Auxiliar!A:C,3,0)</f>
        <v>Luiz</v>
      </c>
      <c r="D177" s="9" t="s">
        <v>42</v>
      </c>
      <c r="E177" s="16">
        <v>0.55858615490061692</v>
      </c>
      <c r="F177" s="24">
        <v>364.75000000000028</v>
      </c>
      <c r="G177" s="53">
        <v>87.977130000000002</v>
      </c>
      <c r="H177" s="10">
        <v>276.7728700000003</v>
      </c>
      <c r="I177" s="10">
        <v>252.46930419190946</v>
      </c>
      <c r="J177" s="10">
        <v>203.74430000000018</v>
      </c>
      <c r="K177" s="10">
        <v>7.1725032425421533</v>
      </c>
      <c r="L177" s="10">
        <v>7.8860759493670889</v>
      </c>
      <c r="M177" s="10">
        <v>33.666425000000025</v>
      </c>
      <c r="N177" s="11">
        <v>0.03</v>
      </c>
      <c r="O177" s="12">
        <v>2.5899999999999999E-2</v>
      </c>
      <c r="P177" s="11">
        <v>3.6400000000000002E-2</v>
      </c>
      <c r="Q177" s="35">
        <v>24.303565808090838</v>
      </c>
      <c r="R177" s="12">
        <v>8.7810506167352351E-2</v>
      </c>
      <c r="S177" s="10">
        <v>49.142806765891713</v>
      </c>
      <c r="T177" s="10">
        <v>0.24119843728581203</v>
      </c>
      <c r="U177" s="22">
        <v>1</v>
      </c>
      <c r="V177" s="10">
        <v>14</v>
      </c>
      <c r="W177" s="10">
        <v>10.942500000000008</v>
      </c>
      <c r="X177" s="40">
        <v>295.13498429882611</v>
      </c>
      <c r="Y177" s="39">
        <v>21.081070307059008</v>
      </c>
      <c r="Z177" s="15">
        <v>0.65088615490061685</v>
      </c>
      <c r="AA177" s="10">
        <v>15.058579191909242</v>
      </c>
      <c r="AB177" s="10">
        <v>2233.6540600000003</v>
      </c>
      <c r="AC177" s="43">
        <v>0.16329744454698605</v>
      </c>
      <c r="AD177" s="43">
        <v>5.5937474016295743E-2</v>
      </c>
      <c r="AE177" s="44">
        <v>886.0759493670887</v>
      </c>
      <c r="AF177" s="10">
        <v>7000</v>
      </c>
      <c r="AG177" s="10">
        <v>6520.6734200000001</v>
      </c>
      <c r="AH177" s="12">
        <v>5.5937474016295743E-2</v>
      </c>
      <c r="AI177" s="10">
        <v>7172.5032425421532</v>
      </c>
      <c r="AJ177" s="10">
        <v>7886.0759493670885</v>
      </c>
      <c r="AK177" s="5" t="s">
        <v>29</v>
      </c>
      <c r="AL177" s="5" t="s">
        <v>29</v>
      </c>
      <c r="AM177" s="4" t="s">
        <v>134</v>
      </c>
    </row>
    <row r="178" spans="1:39" x14ac:dyDescent="0.35">
      <c r="A178" s="5" t="s">
        <v>108</v>
      </c>
      <c r="B178" s="9" t="str">
        <f>VLOOKUP(D178,Auxiliar!A:C,2,0)</f>
        <v>PE MATEUS</v>
      </c>
      <c r="C178" s="5" t="str">
        <f>VLOOKUP(D178,Auxiliar!A:C,3,0)</f>
        <v>Luiz</v>
      </c>
      <c r="D178" s="9" t="s">
        <v>43</v>
      </c>
      <c r="E178" s="16">
        <v>0.51071194754687854</v>
      </c>
      <c r="F178" s="24">
        <v>16.374240000000004</v>
      </c>
      <c r="G178" s="53">
        <v>0</v>
      </c>
      <c r="H178" s="10">
        <v>16.374240000000004</v>
      </c>
      <c r="I178" s="10">
        <v>10.599475151422091</v>
      </c>
      <c r="J178" s="10">
        <v>8.3625200000000017</v>
      </c>
      <c r="K178" s="10">
        <v>0.51232166018158243</v>
      </c>
      <c r="L178" s="10">
        <v>0.21329113924050633</v>
      </c>
      <c r="M178" s="10">
        <v>1.5113423520000002</v>
      </c>
      <c r="N178" s="11">
        <v>0.03</v>
      </c>
      <c r="O178" s="12">
        <v>2.5899999999999999E-2</v>
      </c>
      <c r="P178" s="11">
        <v>3.6400000000000002E-2</v>
      </c>
      <c r="Q178" s="35">
        <v>5.7747648485779131</v>
      </c>
      <c r="R178" s="12">
        <v>0.35267376370310388</v>
      </c>
      <c r="S178" s="10">
        <v>0</v>
      </c>
      <c r="T178" s="10">
        <v>0</v>
      </c>
      <c r="U178" s="22">
        <v>1</v>
      </c>
      <c r="V178" s="10">
        <v>1</v>
      </c>
      <c r="W178" s="10">
        <v>0.49122720000000009</v>
      </c>
      <c r="X178" s="40">
        <v>1.8277950556403031</v>
      </c>
      <c r="Y178" s="39">
        <v>1.8277950556403031</v>
      </c>
      <c r="Z178" s="15">
        <v>0.60301194754687848</v>
      </c>
      <c r="AA178" s="10">
        <v>0.72561279942208878</v>
      </c>
      <c r="AB178" s="10">
        <v>2233.6540600000003</v>
      </c>
      <c r="AC178" s="43">
        <v>7.3306965000659065E-3</v>
      </c>
      <c r="AD178" s="43">
        <v>2.5111271406075115E-3</v>
      </c>
      <c r="AE178" s="44">
        <v>63.291139240506332</v>
      </c>
      <c r="AF178" s="10">
        <v>150</v>
      </c>
      <c r="AG178" s="10">
        <v>6520.6734200000001</v>
      </c>
      <c r="AH178" s="12">
        <v>2.5111271406075115E-3</v>
      </c>
      <c r="AI178" s="10">
        <v>512.32166018158239</v>
      </c>
      <c r="AJ178" s="10">
        <v>213.29113924050634</v>
      </c>
      <c r="AK178" s="5" t="s">
        <v>29</v>
      </c>
      <c r="AL178" s="5" t="s">
        <v>29</v>
      </c>
      <c r="AM178" s="4" t="s">
        <v>134</v>
      </c>
    </row>
    <row r="179" spans="1:39" x14ac:dyDescent="0.35">
      <c r="A179" s="5" t="s">
        <v>108</v>
      </c>
      <c r="B179" s="9" t="str">
        <f>VLOOKUP(D179,Auxiliar!A:C,2,0)</f>
        <v>PE MATEUS</v>
      </c>
      <c r="C179" s="5" t="str">
        <f>VLOOKUP(D179,Auxiliar!A:C,3,0)</f>
        <v>Luiz</v>
      </c>
      <c r="D179" s="9" t="s">
        <v>44</v>
      </c>
      <c r="E179" s="16">
        <v>0.51520338794781162</v>
      </c>
      <c r="F179" s="24">
        <v>114.87308</v>
      </c>
      <c r="G179" s="53">
        <v>21.817730000000001</v>
      </c>
      <c r="H179" s="10">
        <v>93.055350000000004</v>
      </c>
      <c r="I179" s="10">
        <v>72.688236481688364</v>
      </c>
      <c r="J179" s="10">
        <v>59.183</v>
      </c>
      <c r="K179" s="10">
        <v>2.0492866407263297</v>
      </c>
      <c r="L179" s="10">
        <v>0.85316455696202531</v>
      </c>
      <c r="M179" s="10">
        <v>10.602785283999999</v>
      </c>
      <c r="N179" s="11">
        <v>0.03</v>
      </c>
      <c r="O179" s="12">
        <v>2.5899999999999999E-2</v>
      </c>
      <c r="P179" s="11">
        <v>3.6400000000000002E-2</v>
      </c>
      <c r="Q179" s="35">
        <v>20.367113518311641</v>
      </c>
      <c r="R179" s="12">
        <v>0.21887095710576168</v>
      </c>
      <c r="S179" s="10">
        <v>11.240568413330609</v>
      </c>
      <c r="T179" s="10">
        <v>0.18992900686566427</v>
      </c>
      <c r="U179" s="22">
        <v>1</v>
      </c>
      <c r="V179" s="10">
        <v>4</v>
      </c>
      <c r="W179" s="10">
        <v>3.4461923999999997</v>
      </c>
      <c r="X179" s="40">
        <v>62.981897011639496</v>
      </c>
      <c r="Y179" s="39">
        <v>15.745474252909874</v>
      </c>
      <c r="Z179" s="15">
        <v>0.60750338794781156</v>
      </c>
      <c r="AA179" s="10">
        <v>2.9024511976883551</v>
      </c>
      <c r="AB179" s="10">
        <v>2233.6540600000003</v>
      </c>
      <c r="AC179" s="43">
        <v>5.1428321895110284E-2</v>
      </c>
      <c r="AD179" s="43">
        <v>1.7616751001156564E-2</v>
      </c>
      <c r="AE179" s="44">
        <v>253.16455696202533</v>
      </c>
      <c r="AF179" s="10">
        <v>600</v>
      </c>
      <c r="AG179" s="10">
        <v>6520.6734200000001</v>
      </c>
      <c r="AH179" s="12">
        <v>1.7616751001156564E-2</v>
      </c>
      <c r="AI179" s="10">
        <v>2049.2866407263296</v>
      </c>
      <c r="AJ179" s="10">
        <v>853.16455696202536</v>
      </c>
      <c r="AK179" s="5" t="s">
        <v>29</v>
      </c>
      <c r="AL179" s="5" t="s">
        <v>29</v>
      </c>
      <c r="AM179" s="4" t="s">
        <v>134</v>
      </c>
    </row>
    <row r="180" spans="1:39" x14ac:dyDescent="0.35">
      <c r="A180" s="5" t="s">
        <v>108</v>
      </c>
      <c r="B180" s="9" t="str">
        <f>VLOOKUP(D180,Auxiliar!A:C,2,0)</f>
        <v>PE MATEUS</v>
      </c>
      <c r="C180" s="5" t="str">
        <f>VLOOKUP(D180,Auxiliar!A:C,3,0)</f>
        <v>Luiz</v>
      </c>
      <c r="D180" s="9" t="s">
        <v>121</v>
      </c>
      <c r="E180" s="16">
        <v>0</v>
      </c>
      <c r="F180" s="24">
        <v>0</v>
      </c>
      <c r="G180" s="53">
        <v>0</v>
      </c>
      <c r="H180" s="10">
        <v>0</v>
      </c>
      <c r="I180" s="10">
        <v>0</v>
      </c>
      <c r="J180" s="10">
        <v>0</v>
      </c>
      <c r="K180" s="10">
        <v>0</v>
      </c>
      <c r="L180" s="10">
        <v>0</v>
      </c>
      <c r="M180" s="10">
        <v>0</v>
      </c>
      <c r="N180" s="11">
        <v>0.03</v>
      </c>
      <c r="O180" s="12">
        <v>2.5899999999999999E-2</v>
      </c>
      <c r="P180" s="11">
        <v>3.6400000000000002E-2</v>
      </c>
      <c r="Q180" s="35">
        <v>0</v>
      </c>
      <c r="R180" s="12">
        <v>0</v>
      </c>
      <c r="S180" s="10">
        <v>0</v>
      </c>
      <c r="T180" s="10">
        <v>0</v>
      </c>
      <c r="U180" s="22">
        <v>1</v>
      </c>
      <c r="V180" s="10">
        <v>0</v>
      </c>
      <c r="W180" s="10">
        <v>0</v>
      </c>
      <c r="X180" s="40">
        <v>0</v>
      </c>
      <c r="Y180" s="39">
        <v>0</v>
      </c>
      <c r="Z180" s="15">
        <v>9.2299999999999993E-2</v>
      </c>
      <c r="AA180" s="10">
        <v>0</v>
      </c>
      <c r="AB180" s="10">
        <v>2233.6540600000003</v>
      </c>
      <c r="AC180" s="43">
        <v>0</v>
      </c>
      <c r="AD180" s="43">
        <v>0</v>
      </c>
      <c r="AE180" s="44">
        <v>0</v>
      </c>
      <c r="AF180" s="10">
        <v>0</v>
      </c>
      <c r="AG180" s="10">
        <v>6520.6734200000001</v>
      </c>
      <c r="AH180" s="12">
        <v>0</v>
      </c>
      <c r="AI180" s="10">
        <v>0</v>
      </c>
      <c r="AJ180" s="10">
        <v>0</v>
      </c>
      <c r="AK180" s="5" t="s">
        <v>29</v>
      </c>
      <c r="AL180" s="5" t="s">
        <v>29</v>
      </c>
      <c r="AM180" s="4" t="s">
        <v>134</v>
      </c>
    </row>
    <row r="181" spans="1:39" x14ac:dyDescent="0.35">
      <c r="A181" s="5" t="s">
        <v>108</v>
      </c>
      <c r="B181" s="9" t="str">
        <f>VLOOKUP(D181,Auxiliar!A:C,2,0)</f>
        <v>ES Carone</v>
      </c>
      <c r="C181" s="5" t="str">
        <f>VLOOKUP(D181,Auxiliar!A:C,3,0)</f>
        <v>Luiz</v>
      </c>
      <c r="D181" s="9" t="s">
        <v>64</v>
      </c>
      <c r="E181" s="16">
        <v>0.58308962264150943</v>
      </c>
      <c r="F181" s="24">
        <v>8.48</v>
      </c>
      <c r="G181" s="53">
        <v>0</v>
      </c>
      <c r="H181" s="10">
        <v>8.48</v>
      </c>
      <c r="I181" s="10">
        <v>6.3029167994220892</v>
      </c>
      <c r="J181" s="10">
        <v>4.9446000000000003</v>
      </c>
      <c r="K181" s="10">
        <v>0.51232166018158243</v>
      </c>
      <c r="L181" s="10">
        <v>6.3291139240506333E-2</v>
      </c>
      <c r="M181" s="10">
        <v>0.78270399999999996</v>
      </c>
      <c r="N181" s="11">
        <v>0.03</v>
      </c>
      <c r="O181" s="12">
        <v>2.5899999999999999E-2</v>
      </c>
      <c r="P181" s="11">
        <v>3.6400000000000002E-2</v>
      </c>
      <c r="Q181" s="35">
        <v>2.1770832005779113</v>
      </c>
      <c r="R181" s="12">
        <v>0.25673150950211215</v>
      </c>
      <c r="S181" s="10">
        <v>0</v>
      </c>
      <c r="T181" s="10">
        <v>0</v>
      </c>
      <c r="U181" s="22">
        <v>1</v>
      </c>
      <c r="V181" s="10">
        <v>1</v>
      </c>
      <c r="W181" s="10">
        <v>0.25440000000000002</v>
      </c>
      <c r="X181" s="40">
        <v>1.7732421375623437</v>
      </c>
      <c r="Y181" s="39">
        <v>1.7732421375623437</v>
      </c>
      <c r="Z181" s="15">
        <v>0.67538962264150948</v>
      </c>
      <c r="AA181" s="10">
        <v>0.57561279942208876</v>
      </c>
      <c r="AB181" s="10">
        <v>2233.6540600000003</v>
      </c>
      <c r="AC181" s="43">
        <v>3.7964697183233463E-3</v>
      </c>
      <c r="AD181" s="43">
        <v>1.300479176581734E-3</v>
      </c>
      <c r="AE181" s="44">
        <v>63.291139240506332</v>
      </c>
      <c r="AF181" s="10">
        <v>0</v>
      </c>
      <c r="AG181" s="10">
        <v>6520.6734200000001</v>
      </c>
      <c r="AH181" s="12">
        <v>1.300479176581734E-3</v>
      </c>
      <c r="AI181" s="10">
        <v>512.32166018158239</v>
      </c>
      <c r="AJ181" s="10">
        <v>63.291139240506332</v>
      </c>
      <c r="AK181" s="5" t="s">
        <v>29</v>
      </c>
      <c r="AL181" s="5" t="s">
        <v>29</v>
      </c>
      <c r="AM181" s="4" t="s">
        <v>134</v>
      </c>
    </row>
    <row r="182" spans="1:39" x14ac:dyDescent="0.35">
      <c r="A182" s="5" t="s">
        <v>108</v>
      </c>
      <c r="B182" s="9" t="str">
        <f>VLOOKUP(D182,Auxiliar!A:C,2,0)</f>
        <v>RJ ZONA SUL</v>
      </c>
      <c r="C182" s="5" t="str">
        <f>VLOOKUP(D182,Auxiliar!A:C,3,0)</f>
        <v>Luiz</v>
      </c>
      <c r="D182" s="9" t="s">
        <v>48</v>
      </c>
      <c r="E182" s="16">
        <v>0.52505373775973252</v>
      </c>
      <c r="F182" s="24">
        <v>478.18200000000002</v>
      </c>
      <c r="G182" s="53">
        <v>74.961210000000008</v>
      </c>
      <c r="H182" s="10">
        <v>403.22079000000002</v>
      </c>
      <c r="I182" s="10">
        <v>324.65634420688588</v>
      </c>
      <c r="J182" s="10">
        <v>251.07124642942443</v>
      </c>
      <c r="K182" s="10">
        <v>19.980544747081712</v>
      </c>
      <c r="L182" s="10">
        <v>9.4683544303797458</v>
      </c>
      <c r="M182" s="10">
        <v>44.1361986</v>
      </c>
      <c r="N182" s="11">
        <v>0.03</v>
      </c>
      <c r="O182" s="12">
        <v>2.5899999999999999E-2</v>
      </c>
      <c r="P182" s="11">
        <v>3.6400000000000002E-2</v>
      </c>
      <c r="Q182" s="35">
        <v>78.564445793114146</v>
      </c>
      <c r="R182" s="12">
        <v>0.1948422495603814</v>
      </c>
      <c r="S182" s="10">
        <v>39.358663497492245</v>
      </c>
      <c r="T182" s="10">
        <v>0.15676292708633952</v>
      </c>
      <c r="U182" s="22">
        <v>1</v>
      </c>
      <c r="V182" s="10">
        <v>39</v>
      </c>
      <c r="W182" s="10">
        <v>14.345459999999999</v>
      </c>
      <c r="X182" s="40">
        <v>272.86326688826057</v>
      </c>
      <c r="Y182" s="39">
        <v>6.996494022775912</v>
      </c>
      <c r="Z182" s="15">
        <v>0.61735373775973246</v>
      </c>
      <c r="AA182" s="10">
        <v>29.448899177461456</v>
      </c>
      <c r="AB182" s="10">
        <v>2233.6540600000003</v>
      </c>
      <c r="AC182" s="43">
        <v>0.21408059939236962</v>
      </c>
      <c r="AD182" s="43">
        <v>7.3333223303797976E-2</v>
      </c>
      <c r="AE182" s="44">
        <v>2468.3544303797471</v>
      </c>
      <c r="AF182" s="10">
        <v>6999.9999999999991</v>
      </c>
      <c r="AG182" s="10">
        <v>6520.6734200000001</v>
      </c>
      <c r="AH182" s="12">
        <v>7.3333223303797976E-2</v>
      </c>
      <c r="AI182" s="10">
        <v>19980.544747081713</v>
      </c>
      <c r="AJ182" s="10">
        <v>9468.3544303797462</v>
      </c>
      <c r="AK182" s="5" t="s">
        <v>29</v>
      </c>
      <c r="AL182" s="5" t="s">
        <v>29</v>
      </c>
      <c r="AM182" s="4" t="s">
        <v>134</v>
      </c>
    </row>
    <row r="183" spans="1:39" x14ac:dyDescent="0.35">
      <c r="A183" s="5" t="s">
        <v>108</v>
      </c>
      <c r="B183" s="9" t="str">
        <f>VLOOKUP(D183,Auxiliar!A:C,2,0)</f>
        <v>RJ ZONA SUL - Me Bebe</v>
      </c>
      <c r="C183" s="5" t="str">
        <f>VLOOKUP(D183,Auxiliar!A:C,3,0)</f>
        <v>Luiz</v>
      </c>
      <c r="D183" s="9" t="s">
        <v>73</v>
      </c>
      <c r="E183" s="16">
        <v>0.5172587719298245</v>
      </c>
      <c r="F183" s="24">
        <v>191.51999999999995</v>
      </c>
      <c r="G183" s="53">
        <v>0</v>
      </c>
      <c r="H183" s="10">
        <v>191.51999999999995</v>
      </c>
      <c r="I183" s="10">
        <v>116.74269599999997</v>
      </c>
      <c r="J183" s="10">
        <v>99.065399999999968</v>
      </c>
      <c r="K183" s="10">
        <v>0</v>
      </c>
      <c r="L183" s="10">
        <v>0</v>
      </c>
      <c r="M183" s="10">
        <v>17.677295999999995</v>
      </c>
      <c r="N183" s="11">
        <v>0.03</v>
      </c>
      <c r="O183" s="12">
        <v>2.5899999999999999E-2</v>
      </c>
      <c r="P183" s="11">
        <v>3.6400000000000002E-2</v>
      </c>
      <c r="Q183" s="35">
        <v>74.777303999999987</v>
      </c>
      <c r="R183" s="12">
        <v>0.39044122807017545</v>
      </c>
      <c r="S183" s="10">
        <v>0</v>
      </c>
      <c r="T183" s="10">
        <v>0</v>
      </c>
      <c r="U183" s="22">
        <v>1</v>
      </c>
      <c r="V183" s="10">
        <v>0</v>
      </c>
      <c r="W183" s="10">
        <v>5.7455999999999987</v>
      </c>
      <c r="X183" s="40">
        <v>0</v>
      </c>
      <c r="Y183" s="39">
        <v>0</v>
      </c>
      <c r="Z183" s="15">
        <v>0.60955877192982455</v>
      </c>
      <c r="AA183" s="10">
        <v>0</v>
      </c>
      <c r="AB183" s="10">
        <v>2233.6540600000003</v>
      </c>
      <c r="AC183" s="43">
        <v>8.5742910430812155E-2</v>
      </c>
      <c r="AD183" s="43">
        <v>2.9371199516383686E-2</v>
      </c>
      <c r="AE183" s="44">
        <v>0</v>
      </c>
      <c r="AF183" s="10">
        <v>0</v>
      </c>
      <c r="AG183" s="10">
        <v>6520.6734200000001</v>
      </c>
      <c r="AH183" s="12">
        <v>2.9371199516383686E-2</v>
      </c>
      <c r="AI183" s="10">
        <v>0</v>
      </c>
      <c r="AJ183" s="10">
        <v>0</v>
      </c>
      <c r="AK183" s="5" t="s">
        <v>29</v>
      </c>
      <c r="AL183" s="5" t="s">
        <v>29</v>
      </c>
      <c r="AM183" s="4" t="s">
        <v>134</v>
      </c>
    </row>
    <row r="184" spans="1:39" x14ac:dyDescent="0.35">
      <c r="A184" s="5" t="s">
        <v>108</v>
      </c>
      <c r="B184" s="9" t="str">
        <f>VLOOKUP(D184,Auxiliar!A:C,2,0)</f>
        <v>MG Cevaroli</v>
      </c>
      <c r="C184" s="5" t="str">
        <f>VLOOKUP(D184,Auxiliar!A:C,3,0)</f>
        <v>Luisa</v>
      </c>
      <c r="D184" s="9" t="s">
        <v>126</v>
      </c>
      <c r="E184" s="16">
        <v>0.50644042976918446</v>
      </c>
      <c r="F184" s="24">
        <v>102.81611999999997</v>
      </c>
      <c r="G184" s="53">
        <v>0</v>
      </c>
      <c r="H184" s="10">
        <v>102.81611999999997</v>
      </c>
      <c r="I184" s="10">
        <v>58.475684276000024</v>
      </c>
      <c r="J184" s="10">
        <v>52.070240000000027</v>
      </c>
      <c r="K184" s="10">
        <v>0</v>
      </c>
      <c r="L184" s="10">
        <v>0</v>
      </c>
      <c r="M184" s="10">
        <v>6.4054442759999981</v>
      </c>
      <c r="N184" s="11">
        <v>0</v>
      </c>
      <c r="O184" s="12">
        <v>2.5899999999999999E-2</v>
      </c>
      <c r="P184" s="11">
        <v>3.6400000000000002E-2</v>
      </c>
      <c r="Q184" s="35">
        <v>44.340435723999946</v>
      </c>
      <c r="R184" s="12">
        <v>0.43125957023081557</v>
      </c>
      <c r="S184" s="10">
        <v>0</v>
      </c>
      <c r="T184" s="10">
        <v>0</v>
      </c>
      <c r="U184" s="22">
        <v>1</v>
      </c>
      <c r="V184" s="10">
        <v>0</v>
      </c>
      <c r="W184" s="10">
        <v>0</v>
      </c>
      <c r="X184" s="40">
        <v>0</v>
      </c>
      <c r="Y184" s="39">
        <v>0</v>
      </c>
      <c r="Z184" s="15">
        <v>0.56874042976918449</v>
      </c>
      <c r="AA184" s="10">
        <v>0</v>
      </c>
      <c r="AB184" s="10">
        <v>244.51567999999992</v>
      </c>
      <c r="AC184" s="43">
        <v>0.4204888619003902</v>
      </c>
      <c r="AD184" s="43">
        <v>1.5767714985486878E-2</v>
      </c>
      <c r="AE184" s="44">
        <v>0</v>
      </c>
      <c r="AF184" s="10">
        <v>0</v>
      </c>
      <c r="AG184" s="10">
        <v>6520.6734200000001</v>
      </c>
      <c r="AH184" s="12">
        <v>1.5767714985486878E-2</v>
      </c>
      <c r="AI184" s="10">
        <v>0</v>
      </c>
      <c r="AJ184" s="10">
        <v>0</v>
      </c>
      <c r="AK184" s="5" t="s">
        <v>113</v>
      </c>
      <c r="AL184" s="5" t="s">
        <v>113</v>
      </c>
      <c r="AM184" s="4" t="s">
        <v>134</v>
      </c>
    </row>
    <row r="185" spans="1:39" x14ac:dyDescent="0.35">
      <c r="A185" s="5" t="s">
        <v>108</v>
      </c>
      <c r="B185" s="9" t="s">
        <v>31</v>
      </c>
      <c r="C185" s="5" t="s">
        <v>128</v>
      </c>
      <c r="D185" s="9" t="s">
        <v>32</v>
      </c>
      <c r="E185" s="16">
        <v>0.61075470497168616</v>
      </c>
      <c r="F185" s="24">
        <v>29.119439999999983</v>
      </c>
      <c r="G185" s="53">
        <v>22.491000000000003</v>
      </c>
      <c r="H185" s="10">
        <v>6.6284399999999799</v>
      </c>
      <c r="I185" s="10">
        <v>31.037563291268604</v>
      </c>
      <c r="J185" s="10">
        <v>17.784834986140705</v>
      </c>
      <c r="K185" s="10">
        <v>7.1632124352331612</v>
      </c>
      <c r="L185" s="10">
        <v>3.8385831578947371</v>
      </c>
      <c r="M185" s="10">
        <v>2.2509327119999991</v>
      </c>
      <c r="N185" s="11">
        <v>1.4999999999999999E-2</v>
      </c>
      <c r="O185" s="12">
        <v>2.5899999999999999E-2</v>
      </c>
      <c r="P185" s="11">
        <v>3.6400000000000002E-2</v>
      </c>
      <c r="Q185" s="35">
        <v>-24.409123291268624</v>
      </c>
      <c r="R185" s="12">
        <v>-3.6824838561213045</v>
      </c>
      <c r="S185" s="10">
        <v>13.736484069518195</v>
      </c>
      <c r="T185" s="10">
        <v>0.77237062251197197</v>
      </c>
      <c r="U185" s="22">
        <v>1</v>
      </c>
      <c r="V185" s="10">
        <v>14</v>
      </c>
      <c r="W185" s="10">
        <v>0.43679159999999972</v>
      </c>
      <c r="X185" s="40">
        <v>107.36752926530889</v>
      </c>
      <c r="Y185" s="39">
        <v>7.6691092332363491</v>
      </c>
      <c r="Z185" s="15">
        <v>0.68805470497168619</v>
      </c>
      <c r="AA185" s="10">
        <v>11.001795593127898</v>
      </c>
      <c r="AB185" s="10">
        <v>529.56355999999994</v>
      </c>
      <c r="AC185" s="43">
        <v>5.4987620371764225E-2</v>
      </c>
      <c r="AD185" s="43">
        <v>4.9020293589867609E-3</v>
      </c>
      <c r="AE185" s="44">
        <v>1105.2631578947369</v>
      </c>
      <c r="AF185" s="10">
        <v>2733.32</v>
      </c>
      <c r="AG185" s="10">
        <v>5940.2826600000026</v>
      </c>
      <c r="AH185" s="12">
        <v>4.9020293589867609E-3</v>
      </c>
      <c r="AI185" s="10">
        <v>7163.2124352331612</v>
      </c>
      <c r="AJ185" s="10">
        <v>3838.5831578947373</v>
      </c>
      <c r="AK185" s="5" t="s">
        <v>128</v>
      </c>
      <c r="AL185" s="5" t="s">
        <v>128</v>
      </c>
      <c r="AM185" s="4" t="s">
        <v>127</v>
      </c>
    </row>
    <row r="186" spans="1:39" x14ac:dyDescent="0.35">
      <c r="A186" s="5" t="s">
        <v>108</v>
      </c>
      <c r="B186" s="9" t="s">
        <v>49</v>
      </c>
      <c r="C186" s="5" t="s">
        <v>128</v>
      </c>
      <c r="D186" s="9" t="s">
        <v>49</v>
      </c>
      <c r="E186" s="16">
        <v>0</v>
      </c>
      <c r="F186" s="24">
        <v>0</v>
      </c>
      <c r="G186" s="53">
        <v>0.47966000000000003</v>
      </c>
      <c r="H186" s="10">
        <v>-0.47966000000000003</v>
      </c>
      <c r="I186" s="10">
        <v>14.32130799018271</v>
      </c>
      <c r="J186" s="10">
        <v>0</v>
      </c>
      <c r="K186" s="10">
        <v>10.233160621761657</v>
      </c>
      <c r="L186" s="10">
        <v>4.0881473684210521</v>
      </c>
      <c r="M186" s="10">
        <v>0</v>
      </c>
      <c r="N186" s="11">
        <v>7.0000000000000007E-2</v>
      </c>
      <c r="O186" s="12">
        <v>2.5899999999999999E-2</v>
      </c>
      <c r="P186" s="11">
        <v>3.6400000000000002E-2</v>
      </c>
      <c r="Q186" s="35">
        <v>-14.800967990182711</v>
      </c>
      <c r="R186" s="12">
        <v>30.857207167957949</v>
      </c>
      <c r="S186" s="10">
        <v>0</v>
      </c>
      <c r="T186" s="10">
        <v>0</v>
      </c>
      <c r="U186" s="22">
        <v>1</v>
      </c>
      <c r="V186" s="10">
        <v>20</v>
      </c>
      <c r="W186" s="10">
        <v>0</v>
      </c>
      <c r="X186" s="40">
        <v>17.057701959413059</v>
      </c>
      <c r="Y186" s="39">
        <v>0.85288509797065293</v>
      </c>
      <c r="Z186" s="15">
        <v>0.13230000000000003</v>
      </c>
      <c r="AA186" s="10">
        <v>14.32130799018271</v>
      </c>
      <c r="AB186" s="10">
        <v>529.56355999999994</v>
      </c>
      <c r="AC186" s="43">
        <v>0</v>
      </c>
      <c r="AD186" s="43">
        <v>0</v>
      </c>
      <c r="AE186" s="44">
        <v>1578.9473684210525</v>
      </c>
      <c r="AF186" s="10">
        <v>2509.1999999999994</v>
      </c>
      <c r="AG186" s="10">
        <v>5940.2826600000026</v>
      </c>
      <c r="AH186" s="12">
        <v>0</v>
      </c>
      <c r="AI186" s="10">
        <v>10233.160621761657</v>
      </c>
      <c r="AJ186" s="10">
        <v>4088.1473684210519</v>
      </c>
      <c r="AK186" s="5" t="s">
        <v>128</v>
      </c>
      <c r="AL186" s="5" t="s">
        <v>128</v>
      </c>
      <c r="AM186" s="4" t="s">
        <v>127</v>
      </c>
    </row>
    <row r="187" spans="1:39" x14ac:dyDescent="0.35">
      <c r="A187" s="5" t="s">
        <v>108</v>
      </c>
      <c r="B187" s="9" t="s">
        <v>19</v>
      </c>
      <c r="C187" s="5" t="s">
        <v>128</v>
      </c>
      <c r="D187" s="9" t="s">
        <v>19</v>
      </c>
      <c r="E187" s="16">
        <v>0</v>
      </c>
      <c r="F187" s="24">
        <v>0</v>
      </c>
      <c r="G187" s="53">
        <v>0</v>
      </c>
      <c r="H187" s="10">
        <v>0</v>
      </c>
      <c r="I187" s="10">
        <v>0.5906053995091356</v>
      </c>
      <c r="J187" s="10">
        <v>0</v>
      </c>
      <c r="K187" s="10">
        <v>0.51165803108808294</v>
      </c>
      <c r="L187" s="10">
        <v>7.8947368421052627E-2</v>
      </c>
      <c r="M187" s="10">
        <v>0</v>
      </c>
      <c r="N187" s="11">
        <v>0</v>
      </c>
      <c r="O187" s="12">
        <v>2.5899999999999999E-2</v>
      </c>
      <c r="P187" s="11">
        <v>3.6400000000000002E-2</v>
      </c>
      <c r="Q187" s="35">
        <v>-0.5906053995091356</v>
      </c>
      <c r="R187" s="12">
        <v>0</v>
      </c>
      <c r="S187" s="10">
        <v>0</v>
      </c>
      <c r="T187" s="10">
        <v>0</v>
      </c>
      <c r="U187" s="22">
        <v>1</v>
      </c>
      <c r="V187" s="10">
        <v>1</v>
      </c>
      <c r="W187" s="10">
        <v>0</v>
      </c>
      <c r="X187" s="40">
        <v>0.6298447259348785</v>
      </c>
      <c r="Y187" s="39">
        <v>0.6298447259348785</v>
      </c>
      <c r="Z187" s="15">
        <v>6.2300000000000001E-2</v>
      </c>
      <c r="AA187" s="10">
        <v>0.5906053995091356</v>
      </c>
      <c r="AB187" s="10">
        <v>529.56355999999994</v>
      </c>
      <c r="AC187" s="43">
        <v>0</v>
      </c>
      <c r="AD187" s="43">
        <v>0</v>
      </c>
      <c r="AE187" s="44">
        <v>78.94736842105263</v>
      </c>
      <c r="AF187" s="10">
        <v>0</v>
      </c>
      <c r="AG187" s="10">
        <v>5940.2826600000026</v>
      </c>
      <c r="AH187" s="12">
        <v>0</v>
      </c>
      <c r="AI187" s="10">
        <v>511.65803108808291</v>
      </c>
      <c r="AJ187" s="10">
        <v>78.94736842105263</v>
      </c>
      <c r="AK187" s="5" t="s">
        <v>128</v>
      </c>
      <c r="AL187" s="5" t="s">
        <v>128</v>
      </c>
      <c r="AM187" s="4" t="s">
        <v>127</v>
      </c>
    </row>
    <row r="188" spans="1:39" x14ac:dyDescent="0.35">
      <c r="A188" s="5" t="s">
        <v>108</v>
      </c>
      <c r="B188" s="9" t="s">
        <v>120</v>
      </c>
      <c r="C188" s="5" t="s">
        <v>128</v>
      </c>
      <c r="D188" s="9" t="s">
        <v>120</v>
      </c>
      <c r="E188" s="16">
        <v>0.51972867325822036</v>
      </c>
      <c r="F188" s="24">
        <v>3.4792000000000001</v>
      </c>
      <c r="G188" s="53">
        <v>0</v>
      </c>
      <c r="H188" s="10">
        <v>3.4792000000000001</v>
      </c>
      <c r="I188" s="10">
        <v>3.7797409590182713</v>
      </c>
      <c r="J188" s="10">
        <v>1.8082400000000003</v>
      </c>
      <c r="K188" s="10">
        <v>1.0233160621761659</v>
      </c>
      <c r="L188" s="10">
        <v>0.45309473684210527</v>
      </c>
      <c r="M188" s="10">
        <v>0.49509015999999995</v>
      </c>
      <c r="N188" s="11">
        <v>0.08</v>
      </c>
      <c r="O188" s="12">
        <v>2.5899999999999999E-2</v>
      </c>
      <c r="P188" s="11">
        <v>3.6400000000000002E-2</v>
      </c>
      <c r="Q188" s="35">
        <v>-0.30054095901827127</v>
      </c>
      <c r="R188" s="12">
        <v>-8.6382202523071758E-2</v>
      </c>
      <c r="S188" s="10">
        <v>0</v>
      </c>
      <c r="T188" s="10">
        <v>0</v>
      </c>
      <c r="U188" s="22">
        <v>1</v>
      </c>
      <c r="V188" s="10">
        <v>2</v>
      </c>
      <c r="W188" s="10">
        <v>0.27833600000000003</v>
      </c>
      <c r="X188" s="40">
        <v>4.3684498719215128</v>
      </c>
      <c r="Y188" s="39">
        <v>2.1842249359607564</v>
      </c>
      <c r="Z188" s="15">
        <v>0.66202867325822035</v>
      </c>
      <c r="AA188" s="10">
        <v>1.4764107990182711</v>
      </c>
      <c r="AB188" s="10">
        <v>529.56355999999994</v>
      </c>
      <c r="AC188" s="43">
        <v>6.569938460267169E-3</v>
      </c>
      <c r="AD188" s="43">
        <v>5.8569603487521559E-4</v>
      </c>
      <c r="AE188" s="44">
        <v>157.89473684210526</v>
      </c>
      <c r="AF188" s="10">
        <v>295.2</v>
      </c>
      <c r="AG188" s="10">
        <v>5940.2826600000026</v>
      </c>
      <c r="AH188" s="12">
        <v>5.8569603487521559E-4</v>
      </c>
      <c r="AI188" s="10">
        <v>1023.3160621761658</v>
      </c>
      <c r="AJ188" s="10">
        <v>453.09473684210525</v>
      </c>
      <c r="AK188" s="5" t="s">
        <v>128</v>
      </c>
      <c r="AL188" s="5" t="s">
        <v>128</v>
      </c>
      <c r="AM188" s="4" t="s">
        <v>127</v>
      </c>
    </row>
    <row r="189" spans="1:39" x14ac:dyDescent="0.35">
      <c r="A189" s="5" t="s">
        <v>108</v>
      </c>
      <c r="B189" s="9" t="s">
        <v>50</v>
      </c>
      <c r="C189" s="5" t="s">
        <v>128</v>
      </c>
      <c r="D189" s="9" t="s">
        <v>50</v>
      </c>
      <c r="E189" s="16">
        <v>0.52879663591567594</v>
      </c>
      <c r="F189" s="24">
        <v>21.5928</v>
      </c>
      <c r="G189" s="53">
        <v>0</v>
      </c>
      <c r="H189" s="10">
        <v>21.5928</v>
      </c>
      <c r="I189" s="10">
        <v>17.333799638527413</v>
      </c>
      <c r="J189" s="10">
        <v>11.418200000000008</v>
      </c>
      <c r="K189" s="10">
        <v>1.5349740932642488</v>
      </c>
      <c r="L189" s="10">
        <v>1.0920421052631579</v>
      </c>
      <c r="M189" s="10">
        <v>3.28858344</v>
      </c>
      <c r="N189" s="11">
        <v>0.09</v>
      </c>
      <c r="O189" s="12">
        <v>2.5899999999999999E-2</v>
      </c>
      <c r="P189" s="11">
        <v>3.6400000000000002E-2</v>
      </c>
      <c r="Q189" s="35">
        <v>4.2590003614725873</v>
      </c>
      <c r="R189" s="12">
        <v>0.19724168989073151</v>
      </c>
      <c r="S189" s="10">
        <v>0</v>
      </c>
      <c r="T189" s="10">
        <v>0</v>
      </c>
      <c r="U189" s="22">
        <v>1</v>
      </c>
      <c r="V189" s="10">
        <v>3</v>
      </c>
      <c r="W189" s="10">
        <v>1.943352</v>
      </c>
      <c r="X189" s="40">
        <v>8.2376559622393142</v>
      </c>
      <c r="Y189" s="39">
        <v>2.7458853207464382</v>
      </c>
      <c r="Z189" s="15">
        <v>0.68109663591567593</v>
      </c>
      <c r="AA189" s="10">
        <v>2.6270161985274068</v>
      </c>
      <c r="AB189" s="10">
        <v>529.56355999999994</v>
      </c>
      <c r="AC189" s="43">
        <v>4.0774708894244921E-2</v>
      </c>
      <c r="AD189" s="43">
        <v>3.6349785415766716E-3</v>
      </c>
      <c r="AE189" s="44">
        <v>236.84210526315789</v>
      </c>
      <c r="AF189" s="10">
        <v>855.2</v>
      </c>
      <c r="AG189" s="10">
        <v>5940.2826600000026</v>
      </c>
      <c r="AH189" s="12">
        <v>3.6349785415766716E-3</v>
      </c>
      <c r="AI189" s="10">
        <v>1534.9740932642487</v>
      </c>
      <c r="AJ189" s="10">
        <v>1092.042105263158</v>
      </c>
      <c r="AK189" s="5" t="s">
        <v>128</v>
      </c>
      <c r="AL189" s="5" t="s">
        <v>128</v>
      </c>
      <c r="AM189" s="4" t="s">
        <v>127</v>
      </c>
    </row>
    <row r="190" spans="1:39" x14ac:dyDescent="0.35">
      <c r="A190" s="5" t="s">
        <v>108</v>
      </c>
      <c r="B190" s="9" t="s">
        <v>20</v>
      </c>
      <c r="C190" s="5" t="s">
        <v>128</v>
      </c>
      <c r="D190" s="9" t="s">
        <v>20</v>
      </c>
      <c r="E190" s="16">
        <v>0</v>
      </c>
      <c r="F190" s="24">
        <v>0</v>
      </c>
      <c r="G190" s="53">
        <v>0</v>
      </c>
      <c r="H190" s="10">
        <v>0</v>
      </c>
      <c r="I190" s="10">
        <v>1.1812107990182712</v>
      </c>
      <c r="J190" s="10">
        <v>0</v>
      </c>
      <c r="K190" s="10">
        <v>1.0233160621761659</v>
      </c>
      <c r="L190" s="10">
        <v>0.15789473684210525</v>
      </c>
      <c r="M190" s="10">
        <v>0</v>
      </c>
      <c r="N190" s="11">
        <v>0</v>
      </c>
      <c r="O190" s="12">
        <v>2.5899999999999999E-2</v>
      </c>
      <c r="P190" s="11">
        <v>3.6400000000000002E-2</v>
      </c>
      <c r="Q190" s="35">
        <v>-1.1812107990182712</v>
      </c>
      <c r="R190" s="12">
        <v>0</v>
      </c>
      <c r="S190" s="10">
        <v>0</v>
      </c>
      <c r="T190" s="10">
        <v>0</v>
      </c>
      <c r="U190" s="22">
        <v>1</v>
      </c>
      <c r="V190" s="10">
        <v>2</v>
      </c>
      <c r="W190" s="10">
        <v>0</v>
      </c>
      <c r="X190" s="40">
        <v>1.259689451869757</v>
      </c>
      <c r="Y190" s="39">
        <v>0.6298447259348785</v>
      </c>
      <c r="Z190" s="15">
        <v>6.2300000000000001E-2</v>
      </c>
      <c r="AA190" s="10">
        <v>1.1812107990182712</v>
      </c>
      <c r="AB190" s="10">
        <v>529.56355999999994</v>
      </c>
      <c r="AC190" s="43">
        <v>0</v>
      </c>
      <c r="AD190" s="43">
        <v>0</v>
      </c>
      <c r="AE190" s="44">
        <v>157.89473684210526</v>
      </c>
      <c r="AF190" s="10">
        <v>0</v>
      </c>
      <c r="AG190" s="10">
        <v>5940.2826600000026</v>
      </c>
      <c r="AH190" s="12">
        <v>0</v>
      </c>
      <c r="AI190" s="10">
        <v>1023.3160621761658</v>
      </c>
      <c r="AJ190" s="10">
        <v>157.89473684210526</v>
      </c>
      <c r="AK190" s="5" t="s">
        <v>128</v>
      </c>
      <c r="AL190" s="5" t="s">
        <v>128</v>
      </c>
      <c r="AM190" s="4" t="s">
        <v>127</v>
      </c>
    </row>
    <row r="191" spans="1:39" x14ac:dyDescent="0.35">
      <c r="A191" s="5" t="s">
        <v>108</v>
      </c>
      <c r="B191" s="9" t="s">
        <v>51</v>
      </c>
      <c r="C191" s="5" t="s">
        <v>128</v>
      </c>
      <c r="D191" s="9" t="s">
        <v>51</v>
      </c>
      <c r="E191" s="16">
        <v>0.50614223577382178</v>
      </c>
      <c r="F191" s="24">
        <v>159.94175999999993</v>
      </c>
      <c r="G191" s="53">
        <v>15.894600000000001</v>
      </c>
      <c r="H191" s="10">
        <v>144.04715999999993</v>
      </c>
      <c r="I191" s="10">
        <v>123.25090864063699</v>
      </c>
      <c r="J191" s="10">
        <v>80.953279999999978</v>
      </c>
      <c r="K191" s="10">
        <v>7.6748704663212441</v>
      </c>
      <c r="L191" s="10">
        <v>8.6642105263157898</v>
      </c>
      <c r="M191" s="10">
        <v>25.958547647999989</v>
      </c>
      <c r="N191" s="11">
        <v>0.1</v>
      </c>
      <c r="O191" s="12">
        <v>2.5899999999999999E-2</v>
      </c>
      <c r="P191" s="11">
        <v>3.6400000000000002E-2</v>
      </c>
      <c r="Q191" s="35">
        <v>20.796251359362941</v>
      </c>
      <c r="R191" s="12">
        <v>0.14437113067250301</v>
      </c>
      <c r="S191" s="10">
        <v>8.0449283807305871</v>
      </c>
      <c r="T191" s="10">
        <v>9.9377423382111141E-2</v>
      </c>
      <c r="U191" s="22">
        <v>1</v>
      </c>
      <c r="V191" s="10">
        <v>15</v>
      </c>
      <c r="W191" s="10">
        <v>15.994175999999994</v>
      </c>
      <c r="X191" s="40">
        <v>97.218899602206989</v>
      </c>
      <c r="Y191" s="39">
        <v>6.4812599734804657</v>
      </c>
      <c r="Z191" s="15">
        <v>0.66844223577382178</v>
      </c>
      <c r="AA191" s="10">
        <v>16.339080992637033</v>
      </c>
      <c r="AB191" s="10">
        <v>529.56355999999994</v>
      </c>
      <c r="AC191" s="43">
        <v>0.30202561520660515</v>
      </c>
      <c r="AD191" s="43">
        <v>2.6924940975788493E-2</v>
      </c>
      <c r="AE191" s="44">
        <v>1184.2105263157894</v>
      </c>
      <c r="AF191" s="10">
        <v>7480</v>
      </c>
      <c r="AG191" s="10">
        <v>5940.2826600000026</v>
      </c>
      <c r="AH191" s="12">
        <v>2.6924940975788493E-2</v>
      </c>
      <c r="AI191" s="10">
        <v>7674.8704663212438</v>
      </c>
      <c r="AJ191" s="10">
        <v>8664.21052631579</v>
      </c>
      <c r="AK191" s="5" t="s">
        <v>128</v>
      </c>
      <c r="AL191" s="5" t="s">
        <v>128</v>
      </c>
      <c r="AM191" s="4" t="s">
        <v>127</v>
      </c>
    </row>
    <row r="192" spans="1:39" x14ac:dyDescent="0.35">
      <c r="A192" s="5" t="s">
        <v>108</v>
      </c>
      <c r="B192" s="9" t="s">
        <v>31</v>
      </c>
      <c r="C192" s="5" t="s">
        <v>128</v>
      </c>
      <c r="D192" s="9" t="s">
        <v>52</v>
      </c>
      <c r="E192" s="16">
        <v>0.61845536762529507</v>
      </c>
      <c r="F192" s="24">
        <v>273.63576</v>
      </c>
      <c r="G192" s="53">
        <v>80.851320000000001</v>
      </c>
      <c r="H192" s="10">
        <v>192.78444000000002</v>
      </c>
      <c r="I192" s="10">
        <v>228.85843496821121</v>
      </c>
      <c r="J192" s="10">
        <v>169.23150454622703</v>
      </c>
      <c r="K192" s="10">
        <v>27.117875647668395</v>
      </c>
      <c r="L192" s="10">
        <v>11.357010526315788</v>
      </c>
      <c r="M192" s="10">
        <v>21.152044248000003</v>
      </c>
      <c r="N192" s="11">
        <v>1.4999999999999999E-2</v>
      </c>
      <c r="O192" s="12">
        <v>2.5899999999999999E-2</v>
      </c>
      <c r="P192" s="11">
        <v>3.6400000000000002E-2</v>
      </c>
      <c r="Q192" s="35">
        <v>-36.073994968211196</v>
      </c>
      <c r="R192" s="12">
        <v>-0.18712088469490168</v>
      </c>
      <c r="S192" s="10">
        <v>50.002932833590371</v>
      </c>
      <c r="T192" s="10">
        <v>0.29547059200157172</v>
      </c>
      <c r="U192" s="22">
        <v>1</v>
      </c>
      <c r="V192" s="10">
        <v>53</v>
      </c>
      <c r="W192" s="10">
        <v>4.1045363999999998</v>
      </c>
      <c r="X192" s="40">
        <v>392.2048032289461</v>
      </c>
      <c r="Y192" s="39">
        <v>7.400090626961247</v>
      </c>
      <c r="Z192" s="15">
        <v>0.69575536762529511</v>
      </c>
      <c r="AA192" s="10">
        <v>38.474886173984181</v>
      </c>
      <c r="AB192" s="10">
        <v>529.56355999999994</v>
      </c>
      <c r="AC192" s="43">
        <v>0.51671939058646721</v>
      </c>
      <c r="AD192" s="43">
        <v>4.6064434246972333E-2</v>
      </c>
      <c r="AE192" s="44">
        <v>4184.2105263157891</v>
      </c>
      <c r="AF192" s="10">
        <v>7172.7999999999984</v>
      </c>
      <c r="AG192" s="10">
        <v>5940.2826600000026</v>
      </c>
      <c r="AH192" s="12">
        <v>4.6064434246972333E-2</v>
      </c>
      <c r="AI192" s="10">
        <v>27117.875647668396</v>
      </c>
      <c r="AJ192" s="10">
        <v>11357.010526315788</v>
      </c>
      <c r="AK192" s="5" t="s">
        <v>128</v>
      </c>
      <c r="AL192" s="5" t="s">
        <v>128</v>
      </c>
      <c r="AM192" s="4" t="s">
        <v>127</v>
      </c>
    </row>
    <row r="193" spans="1:39" x14ac:dyDescent="0.35">
      <c r="A193" s="5" t="s">
        <v>108</v>
      </c>
      <c r="B193" s="9" t="s">
        <v>21</v>
      </c>
      <c r="C193" s="5" t="s">
        <v>128</v>
      </c>
      <c r="D193" s="9" t="s">
        <v>21</v>
      </c>
      <c r="E193" s="16">
        <v>0.50426332587052813</v>
      </c>
      <c r="F193" s="24">
        <v>4.1985999999999999</v>
      </c>
      <c r="G193" s="53">
        <v>0</v>
      </c>
      <c r="H193" s="10">
        <v>4.1985999999999999</v>
      </c>
      <c r="I193" s="10">
        <v>3.8599835790182704</v>
      </c>
      <c r="J193" s="10">
        <v>2.1171999999999995</v>
      </c>
      <c r="K193" s="10">
        <v>1.0233160621761659</v>
      </c>
      <c r="L193" s="10">
        <v>0.45789473684210524</v>
      </c>
      <c r="M193" s="10">
        <v>0.26157278</v>
      </c>
      <c r="N193" s="11">
        <v>0</v>
      </c>
      <c r="O193" s="12">
        <v>2.5899999999999999E-2</v>
      </c>
      <c r="P193" s="11">
        <v>3.6400000000000002E-2</v>
      </c>
      <c r="Q193" s="35">
        <v>0.3386164209817295</v>
      </c>
      <c r="R193" s="12">
        <v>8.0649840656821209E-2</v>
      </c>
      <c r="S193" s="10">
        <v>0</v>
      </c>
      <c r="T193" s="10">
        <v>0</v>
      </c>
      <c r="U193" s="22">
        <v>1</v>
      </c>
      <c r="V193" s="10">
        <v>2</v>
      </c>
      <c r="W193" s="10">
        <v>0</v>
      </c>
      <c r="X193" s="40">
        <v>3.4173637982830649</v>
      </c>
      <c r="Y193" s="39">
        <v>1.7086818991415325</v>
      </c>
      <c r="Z193" s="15">
        <v>0.56656332587052816</v>
      </c>
      <c r="AA193" s="10">
        <v>1.481210799018271</v>
      </c>
      <c r="AB193" s="10">
        <v>529.56355999999994</v>
      </c>
      <c r="AC193" s="43">
        <v>7.9284156183254007E-3</v>
      </c>
      <c r="AD193" s="43">
        <v>7.0680138308435272E-4</v>
      </c>
      <c r="AE193" s="44">
        <v>157.89473684210526</v>
      </c>
      <c r="AF193" s="10">
        <v>300</v>
      </c>
      <c r="AG193" s="10">
        <v>5940.2826600000026</v>
      </c>
      <c r="AH193" s="12">
        <v>7.0680138308435272E-4</v>
      </c>
      <c r="AI193" s="10">
        <v>1023.3160621761658</v>
      </c>
      <c r="AJ193" s="10">
        <v>457.89473684210526</v>
      </c>
      <c r="AK193" s="5" t="s">
        <v>128</v>
      </c>
      <c r="AL193" s="5" t="s">
        <v>128</v>
      </c>
      <c r="AM193" s="4" t="s">
        <v>127</v>
      </c>
    </row>
    <row r="194" spans="1:39" x14ac:dyDescent="0.35">
      <c r="A194" s="5" t="s">
        <v>108</v>
      </c>
      <c r="B194" s="9" t="s">
        <v>53</v>
      </c>
      <c r="C194" s="5" t="s">
        <v>128</v>
      </c>
      <c r="D194" s="9" t="s">
        <v>53</v>
      </c>
      <c r="E194" s="16">
        <v>0.58863442919459519</v>
      </c>
      <c r="F194" s="24">
        <v>37.595999999999997</v>
      </c>
      <c r="G194" s="53">
        <v>1.18</v>
      </c>
      <c r="H194" s="10">
        <v>36.415999999999997</v>
      </c>
      <c r="I194" s="10">
        <v>30.053341599018268</v>
      </c>
      <c r="J194" s="10">
        <v>22.130299999999998</v>
      </c>
      <c r="K194" s="10">
        <v>1.0233160621761659</v>
      </c>
      <c r="L194" s="10">
        <v>0.79789473684210521</v>
      </c>
      <c r="M194" s="10">
        <v>6.1018307999999992</v>
      </c>
      <c r="N194" s="11">
        <v>0.1</v>
      </c>
      <c r="O194" s="12">
        <v>2.5899999999999999E-2</v>
      </c>
      <c r="P194" s="11">
        <v>3.6400000000000002E-2</v>
      </c>
      <c r="Q194" s="35">
        <v>6.3626584009817293</v>
      </c>
      <c r="R194" s="12">
        <v>0.17472150705683573</v>
      </c>
      <c r="S194" s="10">
        <v>0.69458862644962227</v>
      </c>
      <c r="T194" s="10">
        <v>3.1386317693371635E-2</v>
      </c>
      <c r="U194" s="22">
        <v>1</v>
      </c>
      <c r="V194" s="10">
        <v>2</v>
      </c>
      <c r="W194" s="10">
        <v>3.7595999999999998</v>
      </c>
      <c r="X194" s="40">
        <v>12.04988224311067</v>
      </c>
      <c r="Y194" s="39">
        <v>6.0249411215553348</v>
      </c>
      <c r="Z194" s="15">
        <v>0.75093442919459519</v>
      </c>
      <c r="AA194" s="10">
        <v>1.8212107990182711</v>
      </c>
      <c r="AB194" s="10">
        <v>529.56355999999994</v>
      </c>
      <c r="AC194" s="43">
        <v>7.0994310862325952E-2</v>
      </c>
      <c r="AD194" s="43">
        <v>6.3289917587861016E-3</v>
      </c>
      <c r="AE194" s="44">
        <v>157.89473684210526</v>
      </c>
      <c r="AF194" s="10">
        <v>640</v>
      </c>
      <c r="AG194" s="10">
        <v>5940.2826600000026</v>
      </c>
      <c r="AH194" s="12">
        <v>6.3289917587861016E-3</v>
      </c>
      <c r="AI194" s="10">
        <v>1023.3160621761658</v>
      </c>
      <c r="AJ194" s="10">
        <v>797.8947368421052</v>
      </c>
      <c r="AK194" s="5" t="s">
        <v>128</v>
      </c>
      <c r="AL194" s="5" t="s">
        <v>128</v>
      </c>
      <c r="AM194" s="4" t="s">
        <v>127</v>
      </c>
    </row>
    <row r="195" spans="1:39" x14ac:dyDescent="0.35">
      <c r="A195" s="5" t="s">
        <v>108</v>
      </c>
      <c r="B195" s="9" t="s">
        <v>45</v>
      </c>
      <c r="C195" s="5" t="s">
        <v>22</v>
      </c>
      <c r="D195" s="9" t="s">
        <v>45</v>
      </c>
      <c r="E195" s="16">
        <v>0.45671615884797478</v>
      </c>
      <c r="F195" s="24">
        <v>1190.6977000000004</v>
      </c>
      <c r="G195" s="53">
        <v>3.4743600000000003</v>
      </c>
      <c r="H195" s="10">
        <v>1187.2233400000005</v>
      </c>
      <c r="I195" s="10">
        <v>760.3978264209311</v>
      </c>
      <c r="J195" s="10">
        <v>543.81087989311845</v>
      </c>
      <c r="K195" s="10">
        <v>17.9080310880829</v>
      </c>
      <c r="L195" s="10">
        <v>41.149609729729725</v>
      </c>
      <c r="M195" s="10">
        <v>157.52930571000007</v>
      </c>
      <c r="N195" s="11">
        <v>7.0000000000000007E-2</v>
      </c>
      <c r="O195" s="12">
        <v>2.5899999999999999E-2</v>
      </c>
      <c r="P195" s="11">
        <v>3.6400000000000002E-2</v>
      </c>
      <c r="Q195" s="35">
        <v>426.82551357906937</v>
      </c>
      <c r="R195" s="12">
        <v>0.3595157702838534</v>
      </c>
      <c r="S195" s="10">
        <v>1.5867963536550498</v>
      </c>
      <c r="T195" s="10">
        <v>2.9179194685603231E-3</v>
      </c>
      <c r="U195" s="22">
        <v>1</v>
      </c>
      <c r="V195" s="10">
        <v>35</v>
      </c>
      <c r="W195" s="10">
        <v>83.348839000000041</v>
      </c>
      <c r="X195" s="40">
        <v>152.1519693877251</v>
      </c>
      <c r="Y195" s="39">
        <v>4.3471991253635744</v>
      </c>
      <c r="Z195" s="15">
        <v>0.58901615884797476</v>
      </c>
      <c r="AA195" s="10">
        <v>59.057640817812626</v>
      </c>
      <c r="AB195" s="10">
        <v>3079.4586999999997</v>
      </c>
      <c r="AC195" s="43">
        <v>0.38665811624620927</v>
      </c>
      <c r="AD195" s="43">
        <v>0.20044461991982043</v>
      </c>
      <c r="AE195" s="44">
        <v>4729.7297297297291</v>
      </c>
      <c r="AF195" s="10">
        <v>36419.879999999997</v>
      </c>
      <c r="AG195" s="10">
        <v>5940.2826600000026</v>
      </c>
      <c r="AH195" s="12">
        <v>0.20044461991982043</v>
      </c>
      <c r="AI195" s="10">
        <v>17908.031088082902</v>
      </c>
      <c r="AJ195" s="10">
        <v>41149.609729729724</v>
      </c>
      <c r="AK195" s="5" t="s">
        <v>22</v>
      </c>
      <c r="AL195" s="5" t="s">
        <v>22</v>
      </c>
      <c r="AM195" s="4" t="s">
        <v>127</v>
      </c>
    </row>
    <row r="196" spans="1:39" x14ac:dyDescent="0.35">
      <c r="A196" s="5" t="s">
        <v>108</v>
      </c>
      <c r="B196" s="9" t="s">
        <v>116</v>
      </c>
      <c r="C196" s="5" t="s">
        <v>113</v>
      </c>
      <c r="D196" s="9" t="s">
        <v>116</v>
      </c>
      <c r="E196" s="16">
        <v>0.50670097983688278</v>
      </c>
      <c r="F196" s="24">
        <v>11.29984</v>
      </c>
      <c r="G196" s="53">
        <v>0</v>
      </c>
      <c r="H196" s="10">
        <v>11.29984</v>
      </c>
      <c r="I196" s="10">
        <v>7.0711481929582138</v>
      </c>
      <c r="J196" s="10">
        <v>5.7256400000000012</v>
      </c>
      <c r="K196" s="10">
        <v>0.51165803108808294</v>
      </c>
      <c r="L196" s="10">
        <v>0.12987012987012986</v>
      </c>
      <c r="M196" s="10">
        <v>0.70398003200000003</v>
      </c>
      <c r="N196" s="11">
        <v>0</v>
      </c>
      <c r="O196" s="12">
        <v>2.5899999999999999E-2</v>
      </c>
      <c r="P196" s="11">
        <v>3.6400000000000002E-2</v>
      </c>
      <c r="Q196" s="35">
        <v>4.2286918070417858</v>
      </c>
      <c r="R196" s="12">
        <v>0.37422581267007193</v>
      </c>
      <c r="S196" s="10">
        <v>0</v>
      </c>
      <c r="T196" s="10">
        <v>0</v>
      </c>
      <c r="U196" s="22">
        <v>1</v>
      </c>
      <c r="V196" s="10">
        <v>1</v>
      </c>
      <c r="W196" s="10">
        <v>0</v>
      </c>
      <c r="X196" s="40">
        <v>1.4884677944637048</v>
      </c>
      <c r="Y196" s="39">
        <v>1.4884677944637048</v>
      </c>
      <c r="Z196" s="15">
        <v>0.5690009798368828</v>
      </c>
      <c r="AA196" s="10">
        <v>0.64152816095821286</v>
      </c>
      <c r="AB196" s="10">
        <v>341.6511099999999</v>
      </c>
      <c r="AC196" s="43">
        <v>3.307420836419938E-2</v>
      </c>
      <c r="AD196" s="43">
        <v>1.9022394466326616E-3</v>
      </c>
      <c r="AE196" s="44">
        <v>129.87012987012986</v>
      </c>
      <c r="AF196" s="10">
        <v>0</v>
      </c>
      <c r="AG196" s="10">
        <v>5940.2826600000026</v>
      </c>
      <c r="AH196" s="12">
        <v>1.9022394466326616E-3</v>
      </c>
      <c r="AI196" s="10">
        <v>511.65803108808291</v>
      </c>
      <c r="AJ196" s="10">
        <v>129.87012987012986</v>
      </c>
      <c r="AK196" s="5" t="s">
        <v>113</v>
      </c>
      <c r="AL196" s="5" t="s">
        <v>113</v>
      </c>
      <c r="AM196" s="4" t="s">
        <v>127</v>
      </c>
    </row>
    <row r="197" spans="1:39" x14ac:dyDescent="0.35">
      <c r="A197" s="5" t="s">
        <v>108</v>
      </c>
      <c r="B197" s="9" t="s">
        <v>24</v>
      </c>
      <c r="C197" s="5" t="s">
        <v>22</v>
      </c>
      <c r="D197" s="9" t="s">
        <v>24</v>
      </c>
      <c r="E197" s="16">
        <v>0.59112156180432096</v>
      </c>
      <c r="F197" s="24">
        <v>927.8703999999999</v>
      </c>
      <c r="G197" s="53">
        <v>194.89102000000003</v>
      </c>
      <c r="H197" s="10">
        <v>732.97937999999988</v>
      </c>
      <c r="I197" s="10">
        <v>743.77755256892874</v>
      </c>
      <c r="J197" s="10">
        <v>548.48419999999999</v>
      </c>
      <c r="K197" s="10">
        <v>20.466321243523314</v>
      </c>
      <c r="L197" s="10">
        <v>24.233665405405407</v>
      </c>
      <c r="M197" s="10">
        <v>150.59336592</v>
      </c>
      <c r="N197" s="11">
        <v>0.1</v>
      </c>
      <c r="O197" s="12">
        <v>2.5899999999999999E-2</v>
      </c>
      <c r="P197" s="11">
        <v>3.6400000000000002E-2</v>
      </c>
      <c r="Q197" s="35">
        <v>-10.798172568928862</v>
      </c>
      <c r="R197" s="12">
        <v>-1.4731891324049068E-2</v>
      </c>
      <c r="S197" s="10">
        <v>115.20428412403717</v>
      </c>
      <c r="T197" s="10">
        <v>0.21004120834116494</v>
      </c>
      <c r="U197" s="22">
        <v>1</v>
      </c>
      <c r="V197" s="10">
        <v>40</v>
      </c>
      <c r="W197" s="10">
        <v>92.78703999999999</v>
      </c>
      <c r="X197" s="40">
        <v>971.66243894689114</v>
      </c>
      <c r="Y197" s="39">
        <v>24.291560973672279</v>
      </c>
      <c r="Z197" s="15">
        <v>0.75342156180432096</v>
      </c>
      <c r="AA197" s="10">
        <v>44.699986648928721</v>
      </c>
      <c r="AB197" s="10">
        <v>3079.4586999999997</v>
      </c>
      <c r="AC197" s="43">
        <v>0.30130957755660109</v>
      </c>
      <c r="AD197" s="43">
        <v>0.15619970515005754</v>
      </c>
      <c r="AE197" s="44">
        <v>5405.405405405405</v>
      </c>
      <c r="AF197" s="10">
        <v>18828.260000000002</v>
      </c>
      <c r="AG197" s="10">
        <v>5940.2826600000026</v>
      </c>
      <c r="AH197" s="12">
        <v>0.15619970515005754</v>
      </c>
      <c r="AI197" s="10">
        <v>20466.321243523314</v>
      </c>
      <c r="AJ197" s="10">
        <v>24233.665405405409</v>
      </c>
      <c r="AK197" s="5" t="s">
        <v>22</v>
      </c>
      <c r="AL197" s="5" t="s">
        <v>22</v>
      </c>
      <c r="AM197" s="4" t="s">
        <v>127</v>
      </c>
    </row>
    <row r="198" spans="1:39" x14ac:dyDescent="0.35">
      <c r="A198" s="5" t="s">
        <v>108</v>
      </c>
      <c r="B198" s="9" t="s">
        <v>23</v>
      </c>
      <c r="C198" s="5" t="s">
        <v>22</v>
      </c>
      <c r="D198" s="9" t="s">
        <v>23</v>
      </c>
      <c r="E198" s="16">
        <v>0.49766863731362776</v>
      </c>
      <c r="F198" s="24">
        <v>147.48455999999999</v>
      </c>
      <c r="G198" s="53">
        <v>38.696179999999998</v>
      </c>
      <c r="H198" s="10">
        <v>108.78837999999999</v>
      </c>
      <c r="I198" s="10">
        <v>133.7786205058126</v>
      </c>
      <c r="J198" s="10">
        <v>73.398439999999965</v>
      </c>
      <c r="K198" s="10">
        <v>17.9080310880829</v>
      </c>
      <c r="L198" s="10">
        <v>17.060559729729729</v>
      </c>
      <c r="M198" s="10">
        <v>25.411589687999999</v>
      </c>
      <c r="N198" s="11">
        <v>0.11</v>
      </c>
      <c r="O198" s="12">
        <v>2.5899999999999999E-2</v>
      </c>
      <c r="P198" s="11">
        <v>3.6400000000000002E-2</v>
      </c>
      <c r="Q198" s="35">
        <v>-24.990240505812608</v>
      </c>
      <c r="R198" s="12">
        <v>-0.2297142443504776</v>
      </c>
      <c r="S198" s="10">
        <v>19.257875169842855</v>
      </c>
      <c r="T198" s="10">
        <v>0.262374447874408</v>
      </c>
      <c r="U198" s="22">
        <v>1</v>
      </c>
      <c r="V198" s="10">
        <v>35</v>
      </c>
      <c r="W198" s="10">
        <v>16.223301599999999</v>
      </c>
      <c r="X198" s="40">
        <v>223.20536514529994</v>
      </c>
      <c r="Y198" s="39">
        <v>6.3772961470085692</v>
      </c>
      <c r="Z198" s="15">
        <v>0.66996863731362777</v>
      </c>
      <c r="AA198" s="10">
        <v>34.968590817812625</v>
      </c>
      <c r="AB198" s="10">
        <v>3079.4586999999997</v>
      </c>
      <c r="AC198" s="43">
        <v>4.7893014444389204E-2</v>
      </c>
      <c r="AD198" s="43">
        <v>2.4827869049584912E-2</v>
      </c>
      <c r="AE198" s="44">
        <v>4729.7297297297291</v>
      </c>
      <c r="AF198" s="10">
        <v>12330.83</v>
      </c>
      <c r="AG198" s="10">
        <v>5940.2826600000026</v>
      </c>
      <c r="AH198" s="12">
        <v>2.4827869049584912E-2</v>
      </c>
      <c r="AI198" s="10">
        <v>17908.031088082902</v>
      </c>
      <c r="AJ198" s="10">
        <v>17060.559729729728</v>
      </c>
      <c r="AK198" s="5" t="s">
        <v>22</v>
      </c>
      <c r="AL198" s="5" t="s">
        <v>22</v>
      </c>
      <c r="AM198" s="4" t="s">
        <v>127</v>
      </c>
    </row>
    <row r="199" spans="1:39" x14ac:dyDescent="0.35">
      <c r="A199" s="5" t="s">
        <v>108</v>
      </c>
      <c r="B199" s="9" t="s">
        <v>25</v>
      </c>
      <c r="C199" s="5" t="s">
        <v>22</v>
      </c>
      <c r="D199" s="9" t="s">
        <v>25</v>
      </c>
      <c r="E199" s="16">
        <v>0.55636440356133166</v>
      </c>
      <c r="F199" s="24">
        <v>473.98</v>
      </c>
      <c r="G199" s="53">
        <v>74.146100000000004</v>
      </c>
      <c r="H199" s="10">
        <v>399.83390000000003</v>
      </c>
      <c r="I199" s="10">
        <v>343.23270365691076</v>
      </c>
      <c r="J199" s="10">
        <v>263.7056</v>
      </c>
      <c r="K199" s="10">
        <v>11.256476683937825</v>
      </c>
      <c r="L199" s="10">
        <v>7.9329729729729737</v>
      </c>
      <c r="M199" s="10">
        <v>60.337654000000015</v>
      </c>
      <c r="N199" s="11">
        <v>6.5000000000000002E-2</v>
      </c>
      <c r="O199" s="12">
        <v>2.5899999999999999E-2</v>
      </c>
      <c r="P199" s="11">
        <v>3.6400000000000002E-2</v>
      </c>
      <c r="Q199" s="35">
        <v>56.601196343089271</v>
      </c>
      <c r="R199" s="12">
        <v>0.14156177438453635</v>
      </c>
      <c r="S199" s="10">
        <v>41.252250702898856</v>
      </c>
      <c r="T199" s="10">
        <v>0.15643297185535254</v>
      </c>
      <c r="U199" s="22">
        <v>1</v>
      </c>
      <c r="V199" s="10">
        <v>22</v>
      </c>
      <c r="W199" s="10">
        <v>30.808700000000002</v>
      </c>
      <c r="X199" s="40">
        <v>295.05231376958511</v>
      </c>
      <c r="Y199" s="39">
        <v>13.411468807708415</v>
      </c>
      <c r="Z199" s="15">
        <v>0.68366440356133173</v>
      </c>
      <c r="AA199" s="10">
        <v>19.189449656910799</v>
      </c>
      <c r="AB199" s="10">
        <v>3079.4586999999997</v>
      </c>
      <c r="AC199" s="43">
        <v>0.15391666074300658</v>
      </c>
      <c r="AD199" s="43">
        <v>7.9790815880131843E-2</v>
      </c>
      <c r="AE199" s="44">
        <v>2972.9729729729729</v>
      </c>
      <c r="AF199" s="10">
        <v>4960</v>
      </c>
      <c r="AG199" s="10">
        <v>5940.2826600000026</v>
      </c>
      <c r="AH199" s="12">
        <v>7.9790815880131843E-2</v>
      </c>
      <c r="AI199" s="10">
        <v>11256.476683937824</v>
      </c>
      <c r="AJ199" s="10">
        <v>7932.9729729729734</v>
      </c>
      <c r="AK199" s="5" t="s">
        <v>22</v>
      </c>
      <c r="AL199" s="5" t="s">
        <v>22</v>
      </c>
      <c r="AM199" s="4" t="s">
        <v>127</v>
      </c>
    </row>
    <row r="200" spans="1:39" x14ac:dyDescent="0.35">
      <c r="A200" s="5" t="s">
        <v>108</v>
      </c>
      <c r="B200" s="9" t="s">
        <v>125</v>
      </c>
      <c r="C200" s="5" t="s">
        <v>22</v>
      </c>
      <c r="D200" s="9" t="s">
        <v>125</v>
      </c>
      <c r="E200" s="16">
        <v>0</v>
      </c>
      <c r="F200" s="24">
        <v>0</v>
      </c>
      <c r="G200" s="53">
        <v>0</v>
      </c>
      <c r="H200" s="10">
        <v>0</v>
      </c>
      <c r="I200" s="10">
        <v>0</v>
      </c>
      <c r="J200" s="10">
        <v>0</v>
      </c>
      <c r="K200" s="10">
        <v>0</v>
      </c>
      <c r="L200" s="10">
        <v>0</v>
      </c>
      <c r="M200" s="10">
        <v>0</v>
      </c>
      <c r="N200" s="11">
        <v>0</v>
      </c>
      <c r="O200" s="12">
        <v>2.5899999999999999E-2</v>
      </c>
      <c r="P200" s="11">
        <v>3.6400000000000002E-2</v>
      </c>
      <c r="Q200" s="35">
        <v>0</v>
      </c>
      <c r="R200" s="12">
        <v>0</v>
      </c>
      <c r="S200" s="10">
        <v>0</v>
      </c>
      <c r="T200" s="10">
        <v>0</v>
      </c>
      <c r="U200" s="22">
        <v>1</v>
      </c>
      <c r="V200" s="10">
        <v>0</v>
      </c>
      <c r="W200" s="10">
        <v>0</v>
      </c>
      <c r="X200" s="40">
        <v>0</v>
      </c>
      <c r="Y200" s="39">
        <v>0</v>
      </c>
      <c r="Z200" s="15">
        <v>6.2300000000000001E-2</v>
      </c>
      <c r="AA200" s="10">
        <v>0</v>
      </c>
      <c r="AB200" s="10">
        <v>3079.4586999999997</v>
      </c>
      <c r="AC200" s="43">
        <v>0</v>
      </c>
      <c r="AD200" s="43">
        <v>0</v>
      </c>
      <c r="AE200" s="44">
        <v>0</v>
      </c>
      <c r="AF200" s="10">
        <v>0</v>
      </c>
      <c r="AG200" s="10">
        <v>5940.2826600000026</v>
      </c>
      <c r="AH200" s="12">
        <v>0</v>
      </c>
      <c r="AI200" s="10">
        <v>0</v>
      </c>
      <c r="AJ200" s="10">
        <v>0</v>
      </c>
      <c r="AK200" s="5" t="s">
        <v>22</v>
      </c>
      <c r="AL200" s="5" t="s">
        <v>22</v>
      </c>
      <c r="AM200" s="4" t="s">
        <v>127</v>
      </c>
    </row>
    <row r="201" spans="1:39" x14ac:dyDescent="0.35">
      <c r="A201" s="5" t="s">
        <v>108</v>
      </c>
      <c r="B201" s="9" t="s">
        <v>26</v>
      </c>
      <c r="C201" s="5" t="s">
        <v>22</v>
      </c>
      <c r="D201" s="9" t="s">
        <v>26</v>
      </c>
      <c r="E201" s="16">
        <v>0.53059510288174538</v>
      </c>
      <c r="F201" s="24">
        <v>75.718000000000004</v>
      </c>
      <c r="G201" s="53">
        <v>24.477499999999999</v>
      </c>
      <c r="H201" s="10">
        <v>51.240500000000004</v>
      </c>
      <c r="I201" s="10">
        <v>73.197280555580448</v>
      </c>
      <c r="J201" s="10">
        <v>40.175599999999996</v>
      </c>
      <c r="K201" s="10">
        <v>12.791450777202073</v>
      </c>
      <c r="L201" s="10">
        <v>8.6983783783783775</v>
      </c>
      <c r="M201" s="10">
        <v>11.531851399999999</v>
      </c>
      <c r="N201" s="11">
        <v>0.09</v>
      </c>
      <c r="O201" s="12">
        <v>2.5899999999999999E-2</v>
      </c>
      <c r="P201" s="11">
        <v>3.6400000000000002E-2</v>
      </c>
      <c r="Q201" s="35">
        <v>-21.956780555580444</v>
      </c>
      <c r="R201" s="12">
        <v>-0.42850441653731797</v>
      </c>
      <c r="S201" s="10">
        <v>12.987641630787921</v>
      </c>
      <c r="T201" s="10">
        <v>0.32327187722866424</v>
      </c>
      <c r="U201" s="22">
        <v>1</v>
      </c>
      <c r="V201" s="10">
        <v>25</v>
      </c>
      <c r="W201" s="10">
        <v>6.8146199999999997</v>
      </c>
      <c r="X201" s="40">
        <v>144.95937960377299</v>
      </c>
      <c r="Y201" s="39">
        <v>5.7983751841509195</v>
      </c>
      <c r="Z201" s="15">
        <v>0.68289510288174538</v>
      </c>
      <c r="AA201" s="10">
        <v>21.489829155580452</v>
      </c>
      <c r="AB201" s="10">
        <v>3079.4586999999997</v>
      </c>
      <c r="AC201" s="43">
        <v>2.4588087510314723E-2</v>
      </c>
      <c r="AD201" s="43">
        <v>1.2746531492492981E-2</v>
      </c>
      <c r="AE201" s="44">
        <v>3378.3783783783783</v>
      </c>
      <c r="AF201" s="10">
        <v>5320</v>
      </c>
      <c r="AG201" s="10">
        <v>5940.2826600000026</v>
      </c>
      <c r="AH201" s="12">
        <v>1.2746531492492981E-2</v>
      </c>
      <c r="AI201" s="10">
        <v>12791.450777202073</v>
      </c>
      <c r="AJ201" s="10">
        <v>8698.3783783783783</v>
      </c>
      <c r="AK201" s="5" t="s">
        <v>22</v>
      </c>
      <c r="AL201" s="5" t="s">
        <v>22</v>
      </c>
      <c r="AM201" s="4" t="s">
        <v>127</v>
      </c>
    </row>
    <row r="202" spans="1:39" x14ac:dyDescent="0.35">
      <c r="A202" s="5" t="s">
        <v>108</v>
      </c>
      <c r="B202" s="9" t="s">
        <v>27</v>
      </c>
      <c r="C202" s="5" t="s">
        <v>22</v>
      </c>
      <c r="D202" s="9" t="s">
        <v>27</v>
      </c>
      <c r="E202" s="16">
        <v>0.55678806911712986</v>
      </c>
      <c r="F202" s="24">
        <v>49.254359999999998</v>
      </c>
      <c r="G202" s="53">
        <v>7.5393800000000004</v>
      </c>
      <c r="H202" s="10">
        <v>41.714979999999997</v>
      </c>
      <c r="I202" s="10">
        <v>41.223436290232179</v>
      </c>
      <c r="J202" s="10">
        <v>27.424239999999994</v>
      </c>
      <c r="K202" s="10">
        <v>5.1165803108808285</v>
      </c>
      <c r="L202" s="10">
        <v>3.1513513513513511</v>
      </c>
      <c r="M202" s="10">
        <v>5.5312646279999997</v>
      </c>
      <c r="N202" s="11">
        <v>0.05</v>
      </c>
      <c r="O202" s="12">
        <v>2.5899999999999999E-2</v>
      </c>
      <c r="P202" s="11">
        <v>3.6400000000000002E-2</v>
      </c>
      <c r="Q202" s="35">
        <v>0.49154370976781792</v>
      </c>
      <c r="R202" s="12">
        <v>1.1783385962736119E-2</v>
      </c>
      <c r="S202" s="10">
        <v>4.1978368325403066</v>
      </c>
      <c r="T202" s="10">
        <v>0.15307030687232562</v>
      </c>
      <c r="U202" s="22">
        <v>1</v>
      </c>
      <c r="V202" s="10">
        <v>10</v>
      </c>
      <c r="W202" s="10">
        <v>2.4627180000000002</v>
      </c>
      <c r="X202" s="40">
        <v>47.768938460630324</v>
      </c>
      <c r="Y202" s="39">
        <v>4.7768938460630324</v>
      </c>
      <c r="Z202" s="15">
        <v>0.66908806911712981</v>
      </c>
      <c r="AA202" s="10">
        <v>8.2679316622321792</v>
      </c>
      <c r="AB202" s="10">
        <v>3079.4586999999997</v>
      </c>
      <c r="AC202" s="43">
        <v>1.5994486303713053E-2</v>
      </c>
      <c r="AD202" s="43">
        <v>8.2915852357773115E-3</v>
      </c>
      <c r="AE202" s="44">
        <v>1351.3513513513512</v>
      </c>
      <c r="AF202" s="10">
        <v>1800</v>
      </c>
      <c r="AG202" s="10">
        <v>5940.2826600000026</v>
      </c>
      <c r="AH202" s="12">
        <v>8.2915852357773115E-3</v>
      </c>
      <c r="AI202" s="10">
        <v>5116.5803108808286</v>
      </c>
      <c r="AJ202" s="10">
        <v>3151.3513513513512</v>
      </c>
      <c r="AK202" s="5" t="s">
        <v>22</v>
      </c>
      <c r="AL202" s="5" t="s">
        <v>22</v>
      </c>
      <c r="AM202" s="4" t="s">
        <v>127</v>
      </c>
    </row>
    <row r="203" spans="1:39" x14ac:dyDescent="0.35">
      <c r="A203" s="5" t="s">
        <v>108</v>
      </c>
      <c r="B203" s="9" t="s">
        <v>28</v>
      </c>
      <c r="C203" s="5" t="s">
        <v>22</v>
      </c>
      <c r="D203" s="9" t="s">
        <v>28</v>
      </c>
      <c r="E203" s="16">
        <v>0.59057209299082358</v>
      </c>
      <c r="F203" s="24">
        <v>179.74847999999997</v>
      </c>
      <c r="G203" s="53">
        <v>31.048299999999998</v>
      </c>
      <c r="H203" s="10">
        <v>148.70017999999999</v>
      </c>
      <c r="I203" s="10">
        <v>145.1274369415371</v>
      </c>
      <c r="J203" s="10">
        <v>106.15443604551918</v>
      </c>
      <c r="K203" s="10">
        <v>9.2098445595854912</v>
      </c>
      <c r="L203" s="10">
        <v>5.9824324324324323</v>
      </c>
      <c r="M203" s="10">
        <v>23.780723904000002</v>
      </c>
      <c r="N203" s="11">
        <v>7.0000000000000007E-2</v>
      </c>
      <c r="O203" s="12">
        <v>2.5899999999999999E-2</v>
      </c>
      <c r="P203" s="11">
        <v>3.6400000000000002E-2</v>
      </c>
      <c r="Q203" s="35">
        <v>3.5727430584628905</v>
      </c>
      <c r="R203" s="12">
        <v>2.4026487785441086E-2</v>
      </c>
      <c r="S203" s="10">
        <v>18.336259514806986</v>
      </c>
      <c r="T203" s="10">
        <v>0.17273191962457765</v>
      </c>
      <c r="U203" s="22">
        <v>1</v>
      </c>
      <c r="V203" s="10">
        <v>18</v>
      </c>
      <c r="W203" s="10">
        <v>12.5823936</v>
      </c>
      <c r="X203" s="40">
        <v>166.85644362221086</v>
      </c>
      <c r="Y203" s="39">
        <v>9.2698024234561593</v>
      </c>
      <c r="Z203" s="15">
        <v>0.72287209299082367</v>
      </c>
      <c r="AA203" s="10">
        <v>15.192276992017923</v>
      </c>
      <c r="AB203" s="10">
        <v>3079.4586999999997</v>
      </c>
      <c r="AC203" s="43">
        <v>5.8370154469030544E-2</v>
      </c>
      <c r="AD203" s="43">
        <v>3.0259246956440267E-2</v>
      </c>
      <c r="AE203" s="44">
        <v>2432.4324324324325</v>
      </c>
      <c r="AF203" s="10">
        <v>3550</v>
      </c>
      <c r="AG203" s="10">
        <v>5940.2826600000026</v>
      </c>
      <c r="AH203" s="12">
        <v>3.0259246956440267E-2</v>
      </c>
      <c r="AI203" s="10">
        <v>9209.8445595854919</v>
      </c>
      <c r="AJ203" s="10">
        <v>5982.4324324324325</v>
      </c>
      <c r="AK203" s="5" t="s">
        <v>22</v>
      </c>
      <c r="AL203" s="5" t="s">
        <v>22</v>
      </c>
      <c r="AM203" s="4" t="s">
        <v>127</v>
      </c>
    </row>
    <row r="204" spans="1:39" x14ac:dyDescent="0.35">
      <c r="A204" s="5" t="s">
        <v>108</v>
      </c>
      <c r="B204" s="9" t="s">
        <v>135</v>
      </c>
      <c r="C204" s="5" t="s">
        <v>113</v>
      </c>
      <c r="D204" s="9" t="s">
        <v>115</v>
      </c>
      <c r="E204" s="16">
        <v>0</v>
      </c>
      <c r="F204" s="24">
        <v>0</v>
      </c>
      <c r="G204" s="53">
        <v>0</v>
      </c>
      <c r="H204" s="10">
        <v>0</v>
      </c>
      <c r="I204" s="10">
        <v>1.2830563219164257</v>
      </c>
      <c r="J204" s="10">
        <v>0</v>
      </c>
      <c r="K204" s="10">
        <v>1.0233160621761659</v>
      </c>
      <c r="L204" s="10">
        <v>0.25974025974025972</v>
      </c>
      <c r="M204" s="10">
        <v>0</v>
      </c>
      <c r="N204" s="11">
        <v>0</v>
      </c>
      <c r="O204" s="12">
        <v>2.5899999999999999E-2</v>
      </c>
      <c r="P204" s="11">
        <v>3.6400000000000002E-2</v>
      </c>
      <c r="Q204" s="35">
        <v>-1.2830563219164257</v>
      </c>
      <c r="R204" s="12">
        <v>0</v>
      </c>
      <c r="S204" s="10">
        <v>0</v>
      </c>
      <c r="T204" s="10">
        <v>0</v>
      </c>
      <c r="U204" s="22">
        <v>1</v>
      </c>
      <c r="V204" s="10">
        <v>2</v>
      </c>
      <c r="W204" s="10">
        <v>0</v>
      </c>
      <c r="X204" s="40">
        <v>1.3683015057229666</v>
      </c>
      <c r="Y204" s="39">
        <v>0.6841507528614833</v>
      </c>
      <c r="Z204" s="15">
        <v>6.2300000000000001E-2</v>
      </c>
      <c r="AA204" s="10">
        <v>1.2830563219164257</v>
      </c>
      <c r="AB204" s="10">
        <v>341.6511099999999</v>
      </c>
      <c r="AC204" s="43">
        <v>0</v>
      </c>
      <c r="AD204" s="43">
        <v>0</v>
      </c>
      <c r="AE204" s="44">
        <v>259.74025974025972</v>
      </c>
      <c r="AF204" s="10">
        <v>0</v>
      </c>
      <c r="AG204" s="10">
        <v>5940.2826600000026</v>
      </c>
      <c r="AH204" s="12">
        <v>0</v>
      </c>
      <c r="AI204" s="10">
        <v>1023.3160621761658</v>
      </c>
      <c r="AJ204" s="10">
        <v>259.74025974025972</v>
      </c>
      <c r="AK204" s="5" t="s">
        <v>113</v>
      </c>
      <c r="AL204" s="5" t="s">
        <v>113</v>
      </c>
      <c r="AM204" s="4" t="s">
        <v>127</v>
      </c>
    </row>
    <row r="205" spans="1:39" x14ac:dyDescent="0.35">
      <c r="A205" s="5" t="s">
        <v>108</v>
      </c>
      <c r="B205" s="9" t="s">
        <v>114</v>
      </c>
      <c r="C205" s="5" t="s">
        <v>113</v>
      </c>
      <c r="D205" s="9" t="s">
        <v>114</v>
      </c>
      <c r="E205" s="16">
        <v>0</v>
      </c>
      <c r="F205" s="24">
        <v>0</v>
      </c>
      <c r="G205" s="53">
        <v>0</v>
      </c>
      <c r="H205" s="10">
        <v>0</v>
      </c>
      <c r="I205" s="10">
        <v>0</v>
      </c>
      <c r="J205" s="10">
        <v>0</v>
      </c>
      <c r="K205" s="10">
        <v>0</v>
      </c>
      <c r="L205" s="10">
        <v>0</v>
      </c>
      <c r="M205" s="10">
        <v>0</v>
      </c>
      <c r="N205" s="11">
        <v>0</v>
      </c>
      <c r="O205" s="12">
        <v>2.5899999999999999E-2</v>
      </c>
      <c r="P205" s="11">
        <v>3.6400000000000002E-2</v>
      </c>
      <c r="Q205" s="35">
        <v>0</v>
      </c>
      <c r="R205" s="12">
        <v>0</v>
      </c>
      <c r="S205" s="10">
        <v>0</v>
      </c>
      <c r="T205" s="10">
        <v>0</v>
      </c>
      <c r="U205" s="22">
        <v>1</v>
      </c>
      <c r="V205" s="10">
        <v>0</v>
      </c>
      <c r="W205" s="10">
        <v>0</v>
      </c>
      <c r="X205" s="40">
        <v>0</v>
      </c>
      <c r="Y205" s="39">
        <v>0</v>
      </c>
      <c r="Z205" s="15">
        <v>6.2300000000000001E-2</v>
      </c>
      <c r="AA205" s="10">
        <v>0</v>
      </c>
      <c r="AB205" s="10">
        <v>341.6511099999999</v>
      </c>
      <c r="AC205" s="43">
        <v>0</v>
      </c>
      <c r="AD205" s="43">
        <v>0</v>
      </c>
      <c r="AE205" s="44">
        <v>0</v>
      </c>
      <c r="AF205" s="10">
        <v>0</v>
      </c>
      <c r="AG205" s="10">
        <v>5940.2826600000026</v>
      </c>
      <c r="AH205" s="12">
        <v>0</v>
      </c>
      <c r="AI205" s="10">
        <v>0</v>
      </c>
      <c r="AJ205" s="10">
        <v>0</v>
      </c>
      <c r="AK205" s="5" t="s">
        <v>113</v>
      </c>
      <c r="AL205" s="5" t="s">
        <v>113</v>
      </c>
      <c r="AM205" s="4" t="s">
        <v>127</v>
      </c>
    </row>
    <row r="206" spans="1:39" x14ac:dyDescent="0.35">
      <c r="A206" s="5" t="s">
        <v>108</v>
      </c>
      <c r="B206" s="9" t="s">
        <v>136</v>
      </c>
      <c r="C206" s="5" t="s">
        <v>113</v>
      </c>
      <c r="D206" s="9" t="s">
        <v>7</v>
      </c>
      <c r="E206" s="16">
        <v>0.50626602547600164</v>
      </c>
      <c r="F206" s="24">
        <v>1.9422199999999996</v>
      </c>
      <c r="G206" s="53">
        <v>0</v>
      </c>
      <c r="H206" s="10">
        <v>1.9422199999999996</v>
      </c>
      <c r="I206" s="10">
        <v>1.9458084669582125</v>
      </c>
      <c r="J206" s="10">
        <v>0.98327999999999971</v>
      </c>
      <c r="K206" s="10">
        <v>0.51165803108808294</v>
      </c>
      <c r="L206" s="10">
        <v>0.32987012987012987</v>
      </c>
      <c r="M206" s="10">
        <v>0.12100030599999997</v>
      </c>
      <c r="N206" s="11">
        <v>0</v>
      </c>
      <c r="O206" s="12">
        <v>2.5899999999999999E-2</v>
      </c>
      <c r="P206" s="11">
        <v>3.6400000000000002E-2</v>
      </c>
      <c r="Q206" s="35">
        <v>-3.5884669582129103E-3</v>
      </c>
      <c r="R206" s="12">
        <v>-1.847610959733146E-3</v>
      </c>
      <c r="S206" s="10">
        <v>0</v>
      </c>
      <c r="T206" s="10">
        <v>0</v>
      </c>
      <c r="U206" s="22">
        <v>1</v>
      </c>
      <c r="V206" s="10">
        <v>1</v>
      </c>
      <c r="W206" s="10">
        <v>0</v>
      </c>
      <c r="X206" s="40">
        <v>1.9505375344782987</v>
      </c>
      <c r="Y206" s="39">
        <v>1.9505375344782987</v>
      </c>
      <c r="Z206" s="15">
        <v>0.56856602547600166</v>
      </c>
      <c r="AA206" s="10">
        <v>0.84152816095821281</v>
      </c>
      <c r="AB206" s="10">
        <v>341.6511099999999</v>
      </c>
      <c r="AC206" s="43">
        <v>5.6848051803490415E-3</v>
      </c>
      <c r="AD206" s="43">
        <v>3.269575054194473E-4</v>
      </c>
      <c r="AE206" s="44">
        <v>129.87012987012986</v>
      </c>
      <c r="AF206" s="10">
        <v>200</v>
      </c>
      <c r="AG206" s="10">
        <v>5940.2826600000026</v>
      </c>
      <c r="AH206" s="12">
        <v>3.269575054194473E-4</v>
      </c>
      <c r="AI206" s="10">
        <v>511.65803108808291</v>
      </c>
      <c r="AJ206" s="10">
        <v>329.87012987012986</v>
      </c>
      <c r="AK206" s="5" t="s">
        <v>113</v>
      </c>
      <c r="AL206" s="5" t="s">
        <v>113</v>
      </c>
      <c r="AM206" s="4" t="s">
        <v>127</v>
      </c>
    </row>
    <row r="207" spans="1:39" x14ac:dyDescent="0.35">
      <c r="A207" s="5" t="s">
        <v>108</v>
      </c>
      <c r="B207" s="9" t="s">
        <v>57</v>
      </c>
      <c r="C207" s="5" t="s">
        <v>113</v>
      </c>
      <c r="D207" s="9" t="s">
        <v>57</v>
      </c>
      <c r="E207" s="16">
        <v>0</v>
      </c>
      <c r="F207" s="24">
        <v>0</v>
      </c>
      <c r="G207" s="53">
        <v>0</v>
      </c>
      <c r="H207" s="10">
        <v>0</v>
      </c>
      <c r="I207" s="10">
        <v>0</v>
      </c>
      <c r="J207" s="10">
        <v>0</v>
      </c>
      <c r="K207" s="10">
        <v>0</v>
      </c>
      <c r="L207" s="10">
        <v>0</v>
      </c>
      <c r="M207" s="10">
        <v>0</v>
      </c>
      <c r="N207" s="11">
        <v>0</v>
      </c>
      <c r="O207" s="12">
        <v>2.5899999999999999E-2</v>
      </c>
      <c r="P207" s="11">
        <v>3.6400000000000002E-2</v>
      </c>
      <c r="Q207" s="35">
        <v>0</v>
      </c>
      <c r="R207" s="12">
        <v>0</v>
      </c>
      <c r="S207" s="10">
        <v>0</v>
      </c>
      <c r="T207" s="10">
        <v>0</v>
      </c>
      <c r="U207" s="22">
        <v>1</v>
      </c>
      <c r="V207" s="10">
        <v>0</v>
      </c>
      <c r="W207" s="10">
        <v>0</v>
      </c>
      <c r="X207" s="40">
        <v>0</v>
      </c>
      <c r="Y207" s="39">
        <v>0</v>
      </c>
      <c r="Z207" s="15">
        <v>6.2300000000000001E-2</v>
      </c>
      <c r="AA207" s="10">
        <v>0</v>
      </c>
      <c r="AB207" s="10">
        <v>341.6511099999999</v>
      </c>
      <c r="AC207" s="43">
        <v>0</v>
      </c>
      <c r="AD207" s="43">
        <v>0</v>
      </c>
      <c r="AE207" s="44">
        <v>0</v>
      </c>
      <c r="AF207" s="10">
        <v>0</v>
      </c>
      <c r="AG207" s="10">
        <v>5940.2826600000026</v>
      </c>
      <c r="AH207" s="12">
        <v>0</v>
      </c>
      <c r="AI207" s="10">
        <v>0</v>
      </c>
      <c r="AJ207" s="10">
        <v>0</v>
      </c>
      <c r="AK207" s="5" t="s">
        <v>113</v>
      </c>
      <c r="AL207" s="5" t="s">
        <v>113</v>
      </c>
      <c r="AM207" s="4" t="s">
        <v>127</v>
      </c>
    </row>
    <row r="208" spans="1:39" x14ac:dyDescent="0.35">
      <c r="A208" s="5" t="s">
        <v>108</v>
      </c>
      <c r="B208" s="9" t="s">
        <v>58</v>
      </c>
      <c r="C208" s="5" t="s">
        <v>113</v>
      </c>
      <c r="D208" s="9" t="s">
        <v>58</v>
      </c>
      <c r="E208" s="16">
        <v>0.51575214564729488</v>
      </c>
      <c r="F208" s="24">
        <v>9.3876100000000005</v>
      </c>
      <c r="G208" s="53">
        <v>5.4890000000000008E-2</v>
      </c>
      <c r="H208" s="10">
        <v>9.3327200000000001</v>
      </c>
      <c r="I208" s="10">
        <v>6.1769962639582143</v>
      </c>
      <c r="J208" s="10">
        <v>4.841680000000002</v>
      </c>
      <c r="K208" s="10">
        <v>0.51165803108808294</v>
      </c>
      <c r="L208" s="10">
        <v>0.23881012987012987</v>
      </c>
      <c r="M208" s="10">
        <v>0.58484810300000001</v>
      </c>
      <c r="N208" s="11">
        <v>0</v>
      </c>
      <c r="O208" s="12">
        <v>2.5899999999999999E-2</v>
      </c>
      <c r="P208" s="11">
        <v>3.6400000000000002E-2</v>
      </c>
      <c r="Q208" s="35">
        <v>3.1557237360417858</v>
      </c>
      <c r="R208" s="12">
        <v>0.33813547776444441</v>
      </c>
      <c r="S208" s="10">
        <v>2.8309635274580022E-2</v>
      </c>
      <c r="T208" s="10">
        <v>5.8470686362130514E-3</v>
      </c>
      <c r="U208" s="22">
        <v>1</v>
      </c>
      <c r="V208" s="10">
        <v>1</v>
      </c>
      <c r="W208" s="10">
        <v>0</v>
      </c>
      <c r="X208" s="40">
        <v>1.9086675110451352</v>
      </c>
      <c r="Y208" s="39">
        <v>1.9086675110451352</v>
      </c>
      <c r="Z208" s="15">
        <v>0.5780521456472949</v>
      </c>
      <c r="AA208" s="10">
        <v>0.75046816095821278</v>
      </c>
      <c r="AB208" s="10">
        <v>341.6511099999999</v>
      </c>
      <c r="AC208" s="43">
        <v>2.7477182790361789E-2</v>
      </c>
      <c r="AD208" s="43">
        <v>1.5803305225209597E-3</v>
      </c>
      <c r="AE208" s="44">
        <v>129.87012987012986</v>
      </c>
      <c r="AF208" s="10">
        <v>108.94</v>
      </c>
      <c r="AG208" s="10">
        <v>5940.2826600000026</v>
      </c>
      <c r="AH208" s="12">
        <v>1.5803305225209597E-3</v>
      </c>
      <c r="AI208" s="10">
        <v>511.65803108808291</v>
      </c>
      <c r="AJ208" s="10">
        <v>238.81012987012986</v>
      </c>
      <c r="AK208" s="5" t="s">
        <v>113</v>
      </c>
      <c r="AL208" s="5" t="s">
        <v>113</v>
      </c>
      <c r="AM208" s="4" t="s">
        <v>127</v>
      </c>
    </row>
    <row r="209" spans="1:39" x14ac:dyDescent="0.35">
      <c r="A209" s="5" t="s">
        <v>108</v>
      </c>
      <c r="B209" s="9" t="s">
        <v>136</v>
      </c>
      <c r="C209" s="5" t="s">
        <v>113</v>
      </c>
      <c r="D209" s="9" t="s">
        <v>8</v>
      </c>
      <c r="E209" s="16">
        <v>0.52217404054754157</v>
      </c>
      <c r="F209" s="24">
        <v>47.330119999999987</v>
      </c>
      <c r="G209" s="53">
        <v>19.600279999999998</v>
      </c>
      <c r="H209" s="10">
        <v>27.729839999999989</v>
      </c>
      <c r="I209" s="10">
        <v>31.029319119832852</v>
      </c>
      <c r="J209" s="10">
        <v>24.714560000000002</v>
      </c>
      <c r="K209" s="10">
        <v>2.0466321243523318</v>
      </c>
      <c r="L209" s="10">
        <v>1.3194605194805193</v>
      </c>
      <c r="M209" s="10">
        <v>2.9486664759999992</v>
      </c>
      <c r="N209" s="11">
        <v>0</v>
      </c>
      <c r="O209" s="12">
        <v>2.5899999999999999E-2</v>
      </c>
      <c r="P209" s="11">
        <v>3.6400000000000002E-2</v>
      </c>
      <c r="Q209" s="35">
        <v>-3.2994791198328635</v>
      </c>
      <c r="R209" s="12">
        <v>-0.11898659061259872</v>
      </c>
      <c r="S209" s="10">
        <v>10.234757403463167</v>
      </c>
      <c r="T209" s="10">
        <v>0.41411853593441139</v>
      </c>
      <c r="U209" s="22">
        <v>1</v>
      </c>
      <c r="V209" s="10">
        <v>4</v>
      </c>
      <c r="W209" s="10">
        <v>0</v>
      </c>
      <c r="X209" s="40">
        <v>55.270608541752253</v>
      </c>
      <c r="Y209" s="39">
        <v>13.817652135438063</v>
      </c>
      <c r="Z209" s="15">
        <v>0.5844740405475416</v>
      </c>
      <c r="AA209" s="10">
        <v>3.3660926438328511</v>
      </c>
      <c r="AB209" s="10">
        <v>341.6511099999999</v>
      </c>
      <c r="AC209" s="43">
        <v>0.13853348815404112</v>
      </c>
      <c r="AD209" s="43">
        <v>7.9676545223523031E-3</v>
      </c>
      <c r="AE209" s="44">
        <v>519.48051948051943</v>
      </c>
      <c r="AF209" s="10">
        <v>799.98</v>
      </c>
      <c r="AG209" s="10">
        <v>5940.2826600000026</v>
      </c>
      <c r="AH209" s="12">
        <v>7.9676545223523031E-3</v>
      </c>
      <c r="AI209" s="10">
        <v>2046.6321243523316</v>
      </c>
      <c r="AJ209" s="10">
        <v>1319.4605194805195</v>
      </c>
      <c r="AK209" s="5" t="s">
        <v>113</v>
      </c>
      <c r="AL209" s="5" t="s">
        <v>113</v>
      </c>
      <c r="AM209" s="4" t="s">
        <v>127</v>
      </c>
    </row>
    <row r="210" spans="1:39" x14ac:dyDescent="0.35">
      <c r="A210" s="5" t="s">
        <v>108</v>
      </c>
      <c r="B210" s="9" t="s">
        <v>9</v>
      </c>
      <c r="C210" s="5" t="s">
        <v>113</v>
      </c>
      <c r="D210" s="9" t="s">
        <v>9</v>
      </c>
      <c r="E210" s="16">
        <v>0</v>
      </c>
      <c r="F210" s="24">
        <v>0</v>
      </c>
      <c r="G210" s="53">
        <v>0.51300000000000001</v>
      </c>
      <c r="H210" s="10">
        <v>-0.51300000000000001</v>
      </c>
      <c r="I210" s="10">
        <v>6.5090534486239147</v>
      </c>
      <c r="J210" s="10">
        <v>0</v>
      </c>
      <c r="K210" s="10">
        <v>4.6049222797927456</v>
      </c>
      <c r="L210" s="10">
        <v>1.9041311688311688</v>
      </c>
      <c r="M210" s="10">
        <v>0</v>
      </c>
      <c r="N210" s="11">
        <v>7.0000000000000007E-2</v>
      </c>
      <c r="O210" s="12">
        <v>2.5899999999999999E-2</v>
      </c>
      <c r="P210" s="11">
        <v>3.6400000000000002E-2</v>
      </c>
      <c r="Q210" s="35">
        <v>-7.0220534486239146</v>
      </c>
      <c r="R210" s="12">
        <v>13.688213350144082</v>
      </c>
      <c r="S210" s="10">
        <v>0</v>
      </c>
      <c r="T210" s="10">
        <v>0</v>
      </c>
      <c r="U210" s="22">
        <v>1</v>
      </c>
      <c r="V210" s="10">
        <v>9</v>
      </c>
      <c r="W210" s="10">
        <v>0</v>
      </c>
      <c r="X210" s="40">
        <v>8.0927203510705485</v>
      </c>
      <c r="Y210" s="39">
        <v>0.89919115011894979</v>
      </c>
      <c r="Z210" s="15">
        <v>0.13230000000000003</v>
      </c>
      <c r="AA210" s="10">
        <v>6.5090534486239147</v>
      </c>
      <c r="AB210" s="10">
        <v>341.6511099999999</v>
      </c>
      <c r="AC210" s="43">
        <v>0</v>
      </c>
      <c r="AD210" s="43">
        <v>0</v>
      </c>
      <c r="AE210" s="44">
        <v>1168.8311688311687</v>
      </c>
      <c r="AF210" s="10">
        <v>735.30000000000007</v>
      </c>
      <c r="AG210" s="10">
        <v>5940.2826600000026</v>
      </c>
      <c r="AH210" s="12">
        <v>0</v>
      </c>
      <c r="AI210" s="10">
        <v>4604.9222797927459</v>
      </c>
      <c r="AJ210" s="10">
        <v>1904.1311688311689</v>
      </c>
      <c r="AK210" s="5" t="s">
        <v>113</v>
      </c>
      <c r="AL210" s="5" t="s">
        <v>113</v>
      </c>
      <c r="AM210" s="4" t="s">
        <v>127</v>
      </c>
    </row>
    <row r="211" spans="1:39" x14ac:dyDescent="0.35">
      <c r="A211" s="5" t="s">
        <v>108</v>
      </c>
      <c r="B211" s="9" t="s">
        <v>10</v>
      </c>
      <c r="C211" s="5" t="s">
        <v>113</v>
      </c>
      <c r="D211" s="9" t="s">
        <v>10</v>
      </c>
      <c r="E211" s="16">
        <v>0.5880121382629544</v>
      </c>
      <c r="F211" s="24">
        <v>21.542999999999999</v>
      </c>
      <c r="G211" s="53">
        <v>0</v>
      </c>
      <c r="H211" s="10">
        <v>21.542999999999999</v>
      </c>
      <c r="I211" s="10">
        <v>23.429339557218661</v>
      </c>
      <c r="J211" s="10">
        <v>12.667545494598826</v>
      </c>
      <c r="K211" s="10">
        <v>6.1398963730569953</v>
      </c>
      <c r="L211" s="10">
        <v>3.2797687895628398</v>
      </c>
      <c r="M211" s="10">
        <v>1.3421289000000001</v>
      </c>
      <c r="N211" s="11">
        <v>0</v>
      </c>
      <c r="O211" s="12">
        <v>2.5899999999999999E-2</v>
      </c>
      <c r="P211" s="11">
        <v>3.6400000000000002E-2</v>
      </c>
      <c r="Q211" s="35">
        <v>-1.8863395572186619</v>
      </c>
      <c r="R211" s="12">
        <v>-8.7561600390784103E-2</v>
      </c>
      <c r="S211" s="10">
        <v>0</v>
      </c>
      <c r="T211" s="10">
        <v>0</v>
      </c>
      <c r="U211" s="22">
        <v>1</v>
      </c>
      <c r="V211" s="10">
        <v>12</v>
      </c>
      <c r="W211" s="10">
        <v>0</v>
      </c>
      <c r="X211" s="40">
        <v>26.93735240287846</v>
      </c>
      <c r="Y211" s="39">
        <v>2.2447793669065383</v>
      </c>
      <c r="Z211" s="15">
        <v>0.65031213826295442</v>
      </c>
      <c r="AA211" s="10">
        <v>9.419665162619836</v>
      </c>
      <c r="AB211" s="10">
        <v>341.6511099999999</v>
      </c>
      <c r="AC211" s="43">
        <v>6.3055553953856633E-2</v>
      </c>
      <c r="AD211" s="43">
        <v>3.6265951021259971E-3</v>
      </c>
      <c r="AE211" s="44">
        <v>1558.4415584415583</v>
      </c>
      <c r="AF211" s="10">
        <v>1721.3272311212813</v>
      </c>
      <c r="AG211" s="10">
        <v>5940.2826600000026</v>
      </c>
      <c r="AH211" s="12">
        <v>3.6265951021259971E-3</v>
      </c>
      <c r="AI211" s="10">
        <v>6139.8963730569949</v>
      </c>
      <c r="AJ211" s="10">
        <v>3279.7687895628396</v>
      </c>
      <c r="AK211" s="5" t="s">
        <v>113</v>
      </c>
      <c r="AL211" s="5" t="s">
        <v>113</v>
      </c>
      <c r="AM211" s="4" t="s">
        <v>127</v>
      </c>
    </row>
    <row r="212" spans="1:39" x14ac:dyDescent="0.35">
      <c r="A212" s="5" t="s">
        <v>108</v>
      </c>
      <c r="B212" s="9" t="s">
        <v>12</v>
      </c>
      <c r="C212" s="5" t="s">
        <v>113</v>
      </c>
      <c r="D212" s="9" t="s">
        <v>12</v>
      </c>
      <c r="E212" s="16">
        <v>0</v>
      </c>
      <c r="F212" s="24">
        <v>0</v>
      </c>
      <c r="G212" s="53">
        <v>0</v>
      </c>
      <c r="H212" s="10">
        <v>0</v>
      </c>
      <c r="I212" s="10">
        <v>12.245890575331405</v>
      </c>
      <c r="J212" s="10">
        <v>0</v>
      </c>
      <c r="K212" s="10">
        <v>8.1865284974093271</v>
      </c>
      <c r="L212" s="10">
        <v>4.0593620779220769</v>
      </c>
      <c r="M212" s="10">
        <v>0</v>
      </c>
      <c r="N212" s="11">
        <v>0.03</v>
      </c>
      <c r="O212" s="12">
        <v>2.5899999999999999E-2</v>
      </c>
      <c r="P212" s="11">
        <v>3.6400000000000002E-2</v>
      </c>
      <c r="Q212" s="35">
        <v>-12.245890575331405</v>
      </c>
      <c r="R212" s="12">
        <v>0</v>
      </c>
      <c r="S212" s="10">
        <v>0</v>
      </c>
      <c r="T212" s="10">
        <v>0</v>
      </c>
      <c r="U212" s="22">
        <v>1</v>
      </c>
      <c r="V212" s="10">
        <v>16</v>
      </c>
      <c r="W212" s="10">
        <v>0</v>
      </c>
      <c r="X212" s="40">
        <v>13.49112104806809</v>
      </c>
      <c r="Y212" s="39">
        <v>0.8431950655042556</v>
      </c>
      <c r="Z212" s="15">
        <v>9.2299999999999993E-2</v>
      </c>
      <c r="AA212" s="10">
        <v>12.245890575331405</v>
      </c>
      <c r="AB212" s="10">
        <v>341.6511099999999</v>
      </c>
      <c r="AC212" s="43">
        <v>0</v>
      </c>
      <c r="AD212" s="43">
        <v>0</v>
      </c>
      <c r="AE212" s="44">
        <v>2077.9220779220777</v>
      </c>
      <c r="AF212" s="10">
        <v>1981.4399999999996</v>
      </c>
      <c r="AG212" s="10">
        <v>5940.2826600000026</v>
      </c>
      <c r="AH212" s="12">
        <v>0</v>
      </c>
      <c r="AI212" s="10">
        <v>8186.5284974093265</v>
      </c>
      <c r="AJ212" s="10">
        <v>4059.3620779220773</v>
      </c>
      <c r="AK212" s="5" t="s">
        <v>113</v>
      </c>
      <c r="AL212" s="5" t="s">
        <v>113</v>
      </c>
      <c r="AM212" s="4" t="s">
        <v>127</v>
      </c>
    </row>
    <row r="213" spans="1:39" x14ac:dyDescent="0.35">
      <c r="A213" s="5" t="s">
        <v>108</v>
      </c>
      <c r="B213" s="9" t="s">
        <v>59</v>
      </c>
      <c r="C213" s="5" t="s">
        <v>113</v>
      </c>
      <c r="D213" s="9" t="s">
        <v>59</v>
      </c>
      <c r="E213" s="16">
        <v>0</v>
      </c>
      <c r="F213" s="24">
        <v>0</v>
      </c>
      <c r="G213" s="53">
        <v>0</v>
      </c>
      <c r="H213" s="10">
        <v>0</v>
      </c>
      <c r="I213" s="10">
        <v>0</v>
      </c>
      <c r="J213" s="10">
        <v>0</v>
      </c>
      <c r="K213" s="10">
        <v>0</v>
      </c>
      <c r="L213" s="10">
        <v>0</v>
      </c>
      <c r="M213" s="10">
        <v>0</v>
      </c>
      <c r="N213" s="11">
        <v>0</v>
      </c>
      <c r="O213" s="12">
        <v>2.5899999999999999E-2</v>
      </c>
      <c r="P213" s="11">
        <v>3.6400000000000002E-2</v>
      </c>
      <c r="Q213" s="35">
        <v>0</v>
      </c>
      <c r="R213" s="12">
        <v>0</v>
      </c>
      <c r="S213" s="10">
        <v>0</v>
      </c>
      <c r="T213" s="10">
        <v>0</v>
      </c>
      <c r="U213" s="22">
        <v>1</v>
      </c>
      <c r="V213" s="10">
        <v>0</v>
      </c>
      <c r="W213" s="10">
        <v>0</v>
      </c>
      <c r="X213" s="40">
        <v>0</v>
      </c>
      <c r="Y213" s="39">
        <v>0</v>
      </c>
      <c r="Z213" s="15">
        <v>6.2300000000000001E-2</v>
      </c>
      <c r="AA213" s="10">
        <v>0</v>
      </c>
      <c r="AB213" s="10">
        <v>341.6511099999999</v>
      </c>
      <c r="AC213" s="43">
        <v>0</v>
      </c>
      <c r="AD213" s="43">
        <v>0</v>
      </c>
      <c r="AE213" s="44">
        <v>0</v>
      </c>
      <c r="AF213" s="10">
        <v>0</v>
      </c>
      <c r="AG213" s="10">
        <v>5940.2826600000026</v>
      </c>
      <c r="AH213" s="12">
        <v>0</v>
      </c>
      <c r="AI213" s="10">
        <v>0</v>
      </c>
      <c r="AJ213" s="10">
        <v>0</v>
      </c>
      <c r="AK213" s="5" t="s">
        <v>113</v>
      </c>
      <c r="AL213" s="5" t="s">
        <v>113</v>
      </c>
      <c r="AM213" s="4" t="s">
        <v>127</v>
      </c>
    </row>
    <row r="214" spans="1:39" x14ac:dyDescent="0.35">
      <c r="A214" s="5" t="s">
        <v>108</v>
      </c>
      <c r="B214" s="9" t="s">
        <v>13</v>
      </c>
      <c r="C214" s="5" t="s">
        <v>113</v>
      </c>
      <c r="D214" s="9" t="s">
        <v>13</v>
      </c>
      <c r="E214" s="16">
        <v>0</v>
      </c>
      <c r="F214" s="24">
        <v>0</v>
      </c>
      <c r="G214" s="53">
        <v>0</v>
      </c>
      <c r="H214" s="10">
        <v>0</v>
      </c>
      <c r="I214" s="10">
        <v>3.6161408047910637</v>
      </c>
      <c r="J214" s="10">
        <v>0</v>
      </c>
      <c r="K214" s="10">
        <v>2.5582901554404143</v>
      </c>
      <c r="L214" s="10">
        <v>1.0578506493506492</v>
      </c>
      <c r="M214" s="10">
        <v>0</v>
      </c>
      <c r="N214" s="11">
        <v>0</v>
      </c>
      <c r="O214" s="12">
        <v>2.5899999999999999E-2</v>
      </c>
      <c r="P214" s="11">
        <v>3.6400000000000002E-2</v>
      </c>
      <c r="Q214" s="35">
        <v>-3.6161408047910637</v>
      </c>
      <c r="R214" s="12">
        <v>0</v>
      </c>
      <c r="S214" s="10">
        <v>0</v>
      </c>
      <c r="T214" s="10">
        <v>0</v>
      </c>
      <c r="U214" s="22">
        <v>1</v>
      </c>
      <c r="V214" s="10">
        <v>5</v>
      </c>
      <c r="W214" s="10">
        <v>0</v>
      </c>
      <c r="X214" s="40">
        <v>3.856394161022783</v>
      </c>
      <c r="Y214" s="39">
        <v>0.77127883220455662</v>
      </c>
      <c r="Z214" s="15">
        <v>6.2300000000000001E-2</v>
      </c>
      <c r="AA214" s="10">
        <v>3.6161408047910637</v>
      </c>
      <c r="AB214" s="10">
        <v>341.6511099999999</v>
      </c>
      <c r="AC214" s="43">
        <v>0</v>
      </c>
      <c r="AD214" s="43">
        <v>0</v>
      </c>
      <c r="AE214" s="44">
        <v>649.35064935064929</v>
      </c>
      <c r="AF214" s="10">
        <v>408.5</v>
      </c>
      <c r="AG214" s="10">
        <v>5940.2826600000026</v>
      </c>
      <c r="AH214" s="12">
        <v>0</v>
      </c>
      <c r="AI214" s="10">
        <v>2558.2901554404143</v>
      </c>
      <c r="AJ214" s="10">
        <v>1057.8506493506493</v>
      </c>
      <c r="AK214" s="5" t="s">
        <v>113</v>
      </c>
      <c r="AL214" s="5" t="s">
        <v>113</v>
      </c>
      <c r="AM214" s="4" t="s">
        <v>127</v>
      </c>
    </row>
    <row r="215" spans="1:39" x14ac:dyDescent="0.35">
      <c r="A215" s="5" t="s">
        <v>108</v>
      </c>
      <c r="B215" s="9" t="s">
        <v>14</v>
      </c>
      <c r="C215" s="5" t="s">
        <v>113</v>
      </c>
      <c r="D215" s="9" t="s">
        <v>14</v>
      </c>
      <c r="E215" s="16">
        <v>0.51089516877973473</v>
      </c>
      <c r="F215" s="24">
        <v>64.04440000000001</v>
      </c>
      <c r="G215" s="53">
        <v>0</v>
      </c>
      <c r="H215" s="10">
        <v>64.04440000000001</v>
      </c>
      <c r="I215" s="10">
        <v>47.760845595831917</v>
      </c>
      <c r="J215" s="10">
        <v>32.719974547396845</v>
      </c>
      <c r="K215" s="10">
        <v>5.6282383419689124</v>
      </c>
      <c r="L215" s="10">
        <v>3.5013345864661649</v>
      </c>
      <c r="M215" s="10">
        <v>5.9112981200000005</v>
      </c>
      <c r="N215" s="11">
        <v>0.03</v>
      </c>
      <c r="O215" s="12">
        <v>2.5899999999999999E-2</v>
      </c>
      <c r="P215" s="11">
        <v>3.6400000000000002E-2</v>
      </c>
      <c r="Q215" s="35">
        <v>16.283554404168093</v>
      </c>
      <c r="R215" s="12">
        <v>0.25425414874943147</v>
      </c>
      <c r="S215" s="10">
        <v>0</v>
      </c>
      <c r="T215" s="10">
        <v>0</v>
      </c>
      <c r="U215" s="22">
        <v>1</v>
      </c>
      <c r="V215" s="10">
        <v>11</v>
      </c>
      <c r="W215" s="10">
        <v>1.9213320000000003</v>
      </c>
      <c r="X215" s="40">
        <v>23.00771616202243</v>
      </c>
      <c r="Y215" s="39">
        <v>2.0916105601838573</v>
      </c>
      <c r="Z215" s="15">
        <v>0.60319516877973478</v>
      </c>
      <c r="AA215" s="10">
        <v>9.1295729284350777</v>
      </c>
      <c r="AB215" s="10">
        <v>341.6511099999999</v>
      </c>
      <c r="AC215" s="43">
        <v>0.18745555956191692</v>
      </c>
      <c r="AD215" s="43">
        <v>1.0781372481019276E-2</v>
      </c>
      <c r="AE215" s="44">
        <v>1428.5714285714284</v>
      </c>
      <c r="AF215" s="10">
        <v>2072.7631578947367</v>
      </c>
      <c r="AG215" s="10">
        <v>5940.2826600000026</v>
      </c>
      <c r="AH215" s="12">
        <v>1.0781372481019276E-2</v>
      </c>
      <c r="AI215" s="10">
        <v>5628.2383419689122</v>
      </c>
      <c r="AJ215" s="10">
        <v>3501.3345864661651</v>
      </c>
      <c r="AK215" s="5" t="s">
        <v>113</v>
      </c>
      <c r="AL215" s="5" t="s">
        <v>113</v>
      </c>
      <c r="AM215" s="4" t="s">
        <v>127</v>
      </c>
    </row>
    <row r="216" spans="1:39" x14ac:dyDescent="0.35">
      <c r="A216" s="5" t="s">
        <v>108</v>
      </c>
      <c r="B216" s="9" t="s">
        <v>118</v>
      </c>
      <c r="C216" s="5" t="s">
        <v>113</v>
      </c>
      <c r="D216" s="9" t="s">
        <v>118</v>
      </c>
      <c r="E216" s="16">
        <v>0</v>
      </c>
      <c r="F216" s="24">
        <v>0</v>
      </c>
      <c r="G216" s="53">
        <v>0</v>
      </c>
      <c r="H216" s="10">
        <v>0</v>
      </c>
      <c r="I216" s="10">
        <v>0.64152816095821286</v>
      </c>
      <c r="J216" s="10">
        <v>0</v>
      </c>
      <c r="K216" s="10">
        <v>0.51165803108808294</v>
      </c>
      <c r="L216" s="10">
        <v>0.12987012987012986</v>
      </c>
      <c r="M216" s="10">
        <v>0</v>
      </c>
      <c r="N216" s="11">
        <v>0</v>
      </c>
      <c r="O216" s="12">
        <v>2.5899999999999999E-2</v>
      </c>
      <c r="P216" s="11">
        <v>3.6400000000000002E-2</v>
      </c>
      <c r="Q216" s="35">
        <v>-0.64152816095821286</v>
      </c>
      <c r="R216" s="12">
        <v>0</v>
      </c>
      <c r="S216" s="10">
        <v>0</v>
      </c>
      <c r="T216" s="10">
        <v>0</v>
      </c>
      <c r="U216" s="22">
        <v>1</v>
      </c>
      <c r="V216" s="10">
        <v>1</v>
      </c>
      <c r="W216" s="10">
        <v>0</v>
      </c>
      <c r="X216" s="40">
        <v>0.6841507528614833</v>
      </c>
      <c r="Y216" s="39">
        <v>0.6841507528614833</v>
      </c>
      <c r="Z216" s="15">
        <v>6.2300000000000001E-2</v>
      </c>
      <c r="AA216" s="10">
        <v>0.64152816095821286</v>
      </c>
      <c r="AB216" s="10">
        <v>341.6511099999999</v>
      </c>
      <c r="AC216" s="43">
        <v>0</v>
      </c>
      <c r="AD216" s="43">
        <v>0</v>
      </c>
      <c r="AE216" s="44">
        <v>129.87012987012986</v>
      </c>
      <c r="AF216" s="10">
        <v>0</v>
      </c>
      <c r="AG216" s="10">
        <v>5940.2826600000026</v>
      </c>
      <c r="AH216" s="12">
        <v>0</v>
      </c>
      <c r="AI216" s="10">
        <v>511.65803108808291</v>
      </c>
      <c r="AJ216" s="10">
        <v>129.87012987012986</v>
      </c>
      <c r="AK216" s="5" t="s">
        <v>113</v>
      </c>
      <c r="AL216" s="5" t="s">
        <v>113</v>
      </c>
      <c r="AM216" s="4" t="s">
        <v>127</v>
      </c>
    </row>
    <row r="217" spans="1:39" x14ac:dyDescent="0.35">
      <c r="A217" s="5" t="s">
        <v>108</v>
      </c>
      <c r="B217" s="9" t="s">
        <v>16</v>
      </c>
      <c r="C217" s="5" t="s">
        <v>113</v>
      </c>
      <c r="D217" s="9" t="s">
        <v>16</v>
      </c>
      <c r="E217" s="16">
        <v>0</v>
      </c>
      <c r="F217" s="24">
        <v>0</v>
      </c>
      <c r="G217" s="53">
        <v>0</v>
      </c>
      <c r="H217" s="10">
        <v>0</v>
      </c>
      <c r="I217" s="10">
        <v>3.9076408047910638</v>
      </c>
      <c r="J217" s="10">
        <v>0</v>
      </c>
      <c r="K217" s="10">
        <v>2.5582901554404143</v>
      </c>
      <c r="L217" s="10">
        <v>1.3493506493506493</v>
      </c>
      <c r="M217" s="10">
        <v>0</v>
      </c>
      <c r="N217" s="11">
        <v>0</v>
      </c>
      <c r="O217" s="12">
        <v>2.5899999999999999E-2</v>
      </c>
      <c r="P217" s="11">
        <v>3.6400000000000002E-2</v>
      </c>
      <c r="Q217" s="35">
        <v>-3.9076408047910638</v>
      </c>
      <c r="R217" s="12">
        <v>0</v>
      </c>
      <c r="S217" s="10">
        <v>0</v>
      </c>
      <c r="T217" s="10">
        <v>0</v>
      </c>
      <c r="U217" s="22">
        <v>1</v>
      </c>
      <c r="V217" s="10">
        <v>5</v>
      </c>
      <c r="W217" s="10">
        <v>0</v>
      </c>
      <c r="X217" s="40">
        <v>4.1672611760595757</v>
      </c>
      <c r="Y217" s="39">
        <v>0.83345223521191514</v>
      </c>
      <c r="Z217" s="15">
        <v>6.2300000000000001E-2</v>
      </c>
      <c r="AA217" s="10">
        <v>3.9076408047910638</v>
      </c>
      <c r="AB217" s="10">
        <v>341.6511099999999</v>
      </c>
      <c r="AC217" s="43">
        <v>0</v>
      </c>
      <c r="AD217" s="43">
        <v>0</v>
      </c>
      <c r="AE217" s="44">
        <v>649.35064935064929</v>
      </c>
      <c r="AF217" s="10">
        <v>700</v>
      </c>
      <c r="AG217" s="10">
        <v>5940.2826600000026</v>
      </c>
      <c r="AH217" s="12">
        <v>0</v>
      </c>
      <c r="AI217" s="10">
        <v>2558.2901554404143</v>
      </c>
      <c r="AJ217" s="10">
        <v>1349.3506493506493</v>
      </c>
      <c r="AK217" s="5" t="s">
        <v>113</v>
      </c>
      <c r="AL217" s="5" t="s">
        <v>113</v>
      </c>
      <c r="AM217" s="4" t="s">
        <v>127</v>
      </c>
    </row>
    <row r="218" spans="1:39" x14ac:dyDescent="0.35">
      <c r="A218" s="5" t="s">
        <v>108</v>
      </c>
      <c r="B218" s="9" t="s">
        <v>17</v>
      </c>
      <c r="C218" s="5" t="s">
        <v>113</v>
      </c>
      <c r="D218" s="9" t="s">
        <v>17</v>
      </c>
      <c r="E218" s="16">
        <v>0</v>
      </c>
      <c r="F218" s="24">
        <v>0</v>
      </c>
      <c r="G218" s="53">
        <v>7.9130000000000003</v>
      </c>
      <c r="H218" s="10">
        <v>-7.9130000000000003</v>
      </c>
      <c r="I218" s="10">
        <v>1.5330563219164257</v>
      </c>
      <c r="J218" s="10">
        <v>0</v>
      </c>
      <c r="K218" s="10">
        <v>1.0233160621761659</v>
      </c>
      <c r="L218" s="10">
        <v>0.50974025974025972</v>
      </c>
      <c r="M218" s="10">
        <v>0</v>
      </c>
      <c r="N218" s="11">
        <v>0</v>
      </c>
      <c r="O218" s="12">
        <v>2.5899999999999999E-2</v>
      </c>
      <c r="P218" s="11">
        <v>3.6400000000000002E-2</v>
      </c>
      <c r="Q218" s="35">
        <v>-9.4460563219164264</v>
      </c>
      <c r="R218" s="12">
        <v>1.1937389513353249</v>
      </c>
      <c r="S218" s="10">
        <v>0</v>
      </c>
      <c r="T218" s="10">
        <v>0</v>
      </c>
      <c r="U218" s="22">
        <v>1</v>
      </c>
      <c r="V218" s="10">
        <v>2</v>
      </c>
      <c r="W218" s="10">
        <v>0</v>
      </c>
      <c r="X218" s="40">
        <v>10.073644365912793</v>
      </c>
      <c r="Y218" s="39">
        <v>5.0368221829563966</v>
      </c>
      <c r="Z218" s="15">
        <v>6.2300000000000001E-2</v>
      </c>
      <c r="AA218" s="10">
        <v>1.5330563219164257</v>
      </c>
      <c r="AB218" s="10">
        <v>341.6511099999999</v>
      </c>
      <c r="AC218" s="43">
        <v>0</v>
      </c>
      <c r="AD218" s="43">
        <v>0</v>
      </c>
      <c r="AE218" s="44">
        <v>259.74025974025972</v>
      </c>
      <c r="AF218" s="10">
        <v>250</v>
      </c>
      <c r="AG218" s="10">
        <v>5940.2826600000026</v>
      </c>
      <c r="AH218" s="12">
        <v>0</v>
      </c>
      <c r="AI218" s="10">
        <v>1023.3160621761658</v>
      </c>
      <c r="AJ218" s="10">
        <v>509.74025974025972</v>
      </c>
      <c r="AK218" s="5" t="s">
        <v>113</v>
      </c>
      <c r="AL218" s="5" t="s">
        <v>113</v>
      </c>
      <c r="AM218" s="4" t="s">
        <v>127</v>
      </c>
    </row>
    <row r="219" spans="1:39" x14ac:dyDescent="0.35">
      <c r="A219" s="5" t="s">
        <v>108</v>
      </c>
      <c r="B219" s="9" t="s">
        <v>60</v>
      </c>
      <c r="C219" s="5" t="s">
        <v>113</v>
      </c>
      <c r="D219" s="9" t="s">
        <v>60</v>
      </c>
      <c r="E219" s="16">
        <v>0</v>
      </c>
      <c r="F219" s="24">
        <v>0</v>
      </c>
      <c r="G219" s="53">
        <v>0</v>
      </c>
      <c r="H219" s="10">
        <v>0</v>
      </c>
      <c r="I219" s="10">
        <v>0</v>
      </c>
      <c r="J219" s="10">
        <v>0</v>
      </c>
      <c r="K219" s="10">
        <v>0</v>
      </c>
      <c r="L219" s="10">
        <v>0</v>
      </c>
      <c r="M219" s="10">
        <v>0</v>
      </c>
      <c r="N219" s="11">
        <v>0</v>
      </c>
      <c r="O219" s="12">
        <v>2.5899999999999999E-2</v>
      </c>
      <c r="P219" s="11">
        <v>3.6400000000000002E-2</v>
      </c>
      <c r="Q219" s="35">
        <v>0</v>
      </c>
      <c r="R219" s="12">
        <v>0</v>
      </c>
      <c r="S219" s="10">
        <v>0</v>
      </c>
      <c r="T219" s="10">
        <v>0</v>
      </c>
      <c r="U219" s="22">
        <v>1</v>
      </c>
      <c r="V219" s="10">
        <v>0</v>
      </c>
      <c r="W219" s="10">
        <v>0</v>
      </c>
      <c r="X219" s="40">
        <v>0</v>
      </c>
      <c r="Y219" s="39">
        <v>0</v>
      </c>
      <c r="Z219" s="15">
        <v>6.2300000000000001E-2</v>
      </c>
      <c r="AA219" s="10">
        <v>0</v>
      </c>
      <c r="AB219" s="10">
        <v>341.6511099999999</v>
      </c>
      <c r="AC219" s="43">
        <v>0</v>
      </c>
      <c r="AD219" s="43">
        <v>0</v>
      </c>
      <c r="AE219" s="44">
        <v>0</v>
      </c>
      <c r="AF219" s="10">
        <v>0</v>
      </c>
      <c r="AG219" s="10">
        <v>5940.2826600000026</v>
      </c>
      <c r="AH219" s="12">
        <v>0</v>
      </c>
      <c r="AI219" s="10">
        <v>0</v>
      </c>
      <c r="AJ219" s="10">
        <v>0</v>
      </c>
      <c r="AK219" s="5" t="s">
        <v>113</v>
      </c>
      <c r="AL219" s="5" t="s">
        <v>113</v>
      </c>
      <c r="AM219" s="4" t="s">
        <v>127</v>
      </c>
    </row>
    <row r="220" spans="1:39" x14ac:dyDescent="0.35">
      <c r="A220" s="5" t="s">
        <v>108</v>
      </c>
      <c r="B220" s="9" t="s">
        <v>18</v>
      </c>
      <c r="C220" s="5" t="s">
        <v>113</v>
      </c>
      <c r="D220" s="9" t="s">
        <v>18</v>
      </c>
      <c r="E220" s="16">
        <v>0.51757530287873732</v>
      </c>
      <c r="F220" s="24">
        <v>14.395200000000001</v>
      </c>
      <c r="G220" s="53">
        <v>0.20799999999999999</v>
      </c>
      <c r="H220" s="10">
        <v>14.187200000000001</v>
      </c>
      <c r="I220" s="10">
        <v>14.883686086707488</v>
      </c>
      <c r="J220" s="10">
        <v>7.4505999999999997</v>
      </c>
      <c r="K220" s="10">
        <v>3.5816062176165806</v>
      </c>
      <c r="L220" s="10">
        <v>1.6590909090909089</v>
      </c>
      <c r="M220" s="10">
        <v>2.1923889600000002</v>
      </c>
      <c r="N220" s="11">
        <v>0.09</v>
      </c>
      <c r="O220" s="12">
        <v>2.5899999999999999E-2</v>
      </c>
      <c r="P220" s="11">
        <v>3.6400000000000002E-2</v>
      </c>
      <c r="Q220" s="35">
        <v>-0.69648608670748757</v>
      </c>
      <c r="R220" s="12">
        <v>-4.9092568421357813E-2</v>
      </c>
      <c r="S220" s="10">
        <v>0.10765566299877735</v>
      </c>
      <c r="T220" s="10">
        <v>1.4449260864732687E-2</v>
      </c>
      <c r="U220" s="22">
        <v>1</v>
      </c>
      <c r="V220" s="10">
        <v>7</v>
      </c>
      <c r="W220" s="10">
        <v>1.2955680000000001</v>
      </c>
      <c r="X220" s="40">
        <v>16.504966681441751</v>
      </c>
      <c r="Y220" s="39">
        <v>2.3578523830631073</v>
      </c>
      <c r="Z220" s="15">
        <v>0.66987530287873731</v>
      </c>
      <c r="AA220" s="10">
        <v>5.2406971267074898</v>
      </c>
      <c r="AB220" s="10">
        <v>341.6511099999999</v>
      </c>
      <c r="AC220" s="43">
        <v>4.2134211125495848E-2</v>
      </c>
      <c r="AD220" s="43">
        <v>2.4233190277177809E-3</v>
      </c>
      <c r="AE220" s="44">
        <v>909.09090909090901</v>
      </c>
      <c r="AF220" s="10">
        <v>750</v>
      </c>
      <c r="AG220" s="10">
        <v>5940.2826600000026</v>
      </c>
      <c r="AH220" s="12">
        <v>2.4233190277177809E-3</v>
      </c>
      <c r="AI220" s="10">
        <v>3581.6062176165806</v>
      </c>
      <c r="AJ220" s="10">
        <v>1659.090909090909</v>
      </c>
      <c r="AK220" s="5" t="s">
        <v>113</v>
      </c>
      <c r="AL220" s="5" t="s">
        <v>113</v>
      </c>
      <c r="AM220" s="4" t="s">
        <v>127</v>
      </c>
    </row>
    <row r="221" spans="1:39" x14ac:dyDescent="0.35">
      <c r="A221" s="5" t="s">
        <v>108</v>
      </c>
      <c r="B221" s="9" t="s">
        <v>61</v>
      </c>
      <c r="C221" s="5" t="s">
        <v>113</v>
      </c>
      <c r="D221" s="9" t="s">
        <v>61</v>
      </c>
      <c r="E221" s="16">
        <v>0</v>
      </c>
      <c r="F221" s="24">
        <v>0</v>
      </c>
      <c r="G221" s="53">
        <v>0</v>
      </c>
      <c r="H221" s="10">
        <v>0</v>
      </c>
      <c r="I221" s="10">
        <v>0</v>
      </c>
      <c r="J221" s="10">
        <v>0</v>
      </c>
      <c r="K221" s="10">
        <v>0</v>
      </c>
      <c r="L221" s="10">
        <v>0</v>
      </c>
      <c r="M221" s="10">
        <v>0</v>
      </c>
      <c r="N221" s="11">
        <v>0</v>
      </c>
      <c r="O221" s="12">
        <v>2.5899999999999999E-2</v>
      </c>
      <c r="P221" s="11">
        <v>3.6400000000000002E-2</v>
      </c>
      <c r="Q221" s="35">
        <v>0</v>
      </c>
      <c r="R221" s="12">
        <v>0</v>
      </c>
      <c r="S221" s="10">
        <v>0</v>
      </c>
      <c r="T221" s="10">
        <v>0</v>
      </c>
      <c r="U221" s="22">
        <v>1</v>
      </c>
      <c r="V221" s="10">
        <v>0</v>
      </c>
      <c r="W221" s="10">
        <v>0</v>
      </c>
      <c r="X221" s="40">
        <v>0</v>
      </c>
      <c r="Y221" s="39">
        <v>0</v>
      </c>
      <c r="Z221" s="15">
        <v>6.2300000000000001E-2</v>
      </c>
      <c r="AA221" s="10">
        <v>0</v>
      </c>
      <c r="AB221" s="10">
        <v>341.6511099999999</v>
      </c>
      <c r="AC221" s="43">
        <v>0</v>
      </c>
      <c r="AD221" s="43">
        <v>0</v>
      </c>
      <c r="AE221" s="44">
        <v>0</v>
      </c>
      <c r="AF221" s="10">
        <v>0</v>
      </c>
      <c r="AG221" s="10">
        <v>5940.2826600000026</v>
      </c>
      <c r="AH221" s="12">
        <v>0</v>
      </c>
      <c r="AI221" s="10">
        <v>0</v>
      </c>
      <c r="AJ221" s="10">
        <v>0</v>
      </c>
      <c r="AK221" s="5" t="s">
        <v>113</v>
      </c>
      <c r="AL221" s="5" t="s">
        <v>113</v>
      </c>
      <c r="AM221" s="4" t="s">
        <v>127</v>
      </c>
    </row>
    <row r="222" spans="1:39" x14ac:dyDescent="0.35">
      <c r="A222" s="5" t="s">
        <v>108</v>
      </c>
      <c r="B222" s="9" t="s">
        <v>135</v>
      </c>
      <c r="C222" s="5" t="s">
        <v>113</v>
      </c>
      <c r="D222" s="9" t="s">
        <v>117</v>
      </c>
      <c r="E222" s="16">
        <v>0</v>
      </c>
      <c r="F222" s="24">
        <v>0</v>
      </c>
      <c r="G222" s="53">
        <v>0</v>
      </c>
      <c r="H222" s="10">
        <v>0</v>
      </c>
      <c r="I222" s="10">
        <v>0</v>
      </c>
      <c r="J222" s="10">
        <v>0</v>
      </c>
      <c r="K222" s="10">
        <v>0</v>
      </c>
      <c r="L222" s="10">
        <v>0</v>
      </c>
      <c r="M222" s="10">
        <v>0</v>
      </c>
      <c r="N222" s="11">
        <v>0</v>
      </c>
      <c r="O222" s="12">
        <v>2.5899999999999999E-2</v>
      </c>
      <c r="P222" s="11">
        <v>3.6400000000000002E-2</v>
      </c>
      <c r="Q222" s="35">
        <v>0</v>
      </c>
      <c r="R222" s="12">
        <v>0</v>
      </c>
      <c r="S222" s="10">
        <v>0</v>
      </c>
      <c r="T222" s="10">
        <v>0</v>
      </c>
      <c r="U222" s="22">
        <v>1</v>
      </c>
      <c r="V222" s="10">
        <v>0</v>
      </c>
      <c r="W222" s="10">
        <v>0</v>
      </c>
      <c r="X222" s="40">
        <v>0</v>
      </c>
      <c r="Y222" s="39">
        <v>0</v>
      </c>
      <c r="Z222" s="15">
        <v>6.2300000000000001E-2</v>
      </c>
      <c r="AA222" s="10">
        <v>0</v>
      </c>
      <c r="AB222" s="10">
        <v>341.6511099999999</v>
      </c>
      <c r="AC222" s="43">
        <v>0</v>
      </c>
      <c r="AD222" s="43">
        <v>0</v>
      </c>
      <c r="AE222" s="44">
        <v>0</v>
      </c>
      <c r="AF222" s="10">
        <v>0</v>
      </c>
      <c r="AG222" s="10">
        <v>5940.2826600000026</v>
      </c>
      <c r="AH222" s="12">
        <v>0</v>
      </c>
      <c r="AI222" s="10">
        <v>0</v>
      </c>
      <c r="AJ222" s="10">
        <v>0</v>
      </c>
      <c r="AK222" s="5" t="s">
        <v>113</v>
      </c>
      <c r="AL222" s="5" t="s">
        <v>113</v>
      </c>
      <c r="AM222" s="4" t="s">
        <v>127</v>
      </c>
    </row>
    <row r="223" spans="1:39" x14ac:dyDescent="0.35">
      <c r="A223" s="5" t="s">
        <v>108</v>
      </c>
      <c r="B223" s="9" t="s">
        <v>65</v>
      </c>
      <c r="C223" s="5" t="s">
        <v>113</v>
      </c>
      <c r="D223" s="9" t="s">
        <v>65</v>
      </c>
      <c r="E223" s="16">
        <v>0.62627512479116054</v>
      </c>
      <c r="F223" s="24">
        <v>195.12599999999992</v>
      </c>
      <c r="G223" s="53">
        <v>0</v>
      </c>
      <c r="H223" s="10">
        <v>195.12599999999992</v>
      </c>
      <c r="I223" s="10">
        <v>139.35890979999994</v>
      </c>
      <c r="J223" s="10">
        <v>122.20255999999995</v>
      </c>
      <c r="K223" s="10">
        <v>5</v>
      </c>
      <c r="L223" s="10">
        <v>0</v>
      </c>
      <c r="M223" s="10">
        <v>12.156349799999996</v>
      </c>
      <c r="N223" s="11">
        <v>0</v>
      </c>
      <c r="O223" s="12">
        <v>2.5899999999999999E-2</v>
      </c>
      <c r="P223" s="11">
        <v>3.6400000000000002E-2</v>
      </c>
      <c r="Q223" s="35">
        <v>55.767090199999984</v>
      </c>
      <c r="R223" s="12">
        <v>0.2858004069165565</v>
      </c>
      <c r="S223" s="10">
        <v>0</v>
      </c>
      <c r="T223" s="10">
        <v>0</v>
      </c>
      <c r="U223" s="22">
        <v>1</v>
      </c>
      <c r="V223" s="10">
        <v>0</v>
      </c>
      <c r="W223" s="10">
        <v>0</v>
      </c>
      <c r="X223" s="40">
        <v>16.055236424665928</v>
      </c>
      <c r="Y223" s="39">
        <v>16.055236424665928</v>
      </c>
      <c r="Z223" s="15">
        <v>0.68857512479116056</v>
      </c>
      <c r="AA223" s="10">
        <v>5</v>
      </c>
      <c r="AB223" s="10">
        <v>341.6511099999999</v>
      </c>
      <c r="AC223" s="43">
        <v>0.57112649216916045</v>
      </c>
      <c r="AD223" s="43">
        <v>3.2847931852454951E-2</v>
      </c>
      <c r="AE223" s="44">
        <v>0</v>
      </c>
      <c r="AF223" s="10">
        <v>0</v>
      </c>
      <c r="AG223" s="10">
        <v>5940.2826600000026</v>
      </c>
      <c r="AH223" s="12">
        <v>3.2847931852454951E-2</v>
      </c>
      <c r="AI223" s="10">
        <v>0</v>
      </c>
      <c r="AJ223" s="10">
        <v>0</v>
      </c>
      <c r="AK223" s="5" t="s">
        <v>113</v>
      </c>
      <c r="AL223" s="5" t="s">
        <v>113</v>
      </c>
      <c r="AM223" s="4" t="s">
        <v>127</v>
      </c>
    </row>
    <row r="224" spans="1:39" x14ac:dyDescent="0.35">
      <c r="A224" s="5" t="s">
        <v>108</v>
      </c>
      <c r="B224" s="9" t="s">
        <v>5</v>
      </c>
      <c r="C224" s="5" t="s">
        <v>29</v>
      </c>
      <c r="D224" s="9" t="s">
        <v>5</v>
      </c>
      <c r="E224" s="16">
        <v>0.56882424242424245</v>
      </c>
      <c r="F224" s="24">
        <v>73.7</v>
      </c>
      <c r="G224" s="53">
        <v>0</v>
      </c>
      <c r="H224" s="10">
        <v>73.7</v>
      </c>
      <c r="I224" s="10">
        <v>72.143379616370964</v>
      </c>
      <c r="J224" s="10">
        <v>41.92234666666667</v>
      </c>
      <c r="K224" s="10">
        <v>13.303108808290155</v>
      </c>
      <c r="L224" s="10">
        <v>8.6414141414141419</v>
      </c>
      <c r="M224" s="10">
        <v>8.27651</v>
      </c>
      <c r="N224" s="11">
        <v>0.05</v>
      </c>
      <c r="O224" s="12">
        <v>2.5899999999999999E-2</v>
      </c>
      <c r="P224" s="11">
        <v>3.6400000000000002E-2</v>
      </c>
      <c r="Q224" s="35">
        <v>1.5566203836290384</v>
      </c>
      <c r="R224" s="12">
        <v>2.1121036412877048E-2</v>
      </c>
      <c r="S224" s="10">
        <v>0</v>
      </c>
      <c r="T224" s="10">
        <v>0</v>
      </c>
      <c r="U224" s="22">
        <v>1</v>
      </c>
      <c r="V224" s="10">
        <v>26</v>
      </c>
      <c r="W224" s="10">
        <v>3.6850000000000005</v>
      </c>
      <c r="X224" s="40">
        <v>68.818411021699504</v>
      </c>
      <c r="Y224" s="39">
        <v>2.646861962373058</v>
      </c>
      <c r="Z224" s="15">
        <v>0.68112424242424241</v>
      </c>
      <c r="AA224" s="10">
        <v>21.944522949704297</v>
      </c>
      <c r="AB224" s="10">
        <v>1989.6092900000001</v>
      </c>
      <c r="AC224" s="43">
        <v>3.7042448670914677E-2</v>
      </c>
      <c r="AD224" s="43">
        <v>1.2406817018367267E-2</v>
      </c>
      <c r="AE224" s="44">
        <v>1641.4141414141413</v>
      </c>
      <c r="AF224" s="10">
        <v>7000</v>
      </c>
      <c r="AG224" s="10">
        <v>5940.2826600000026</v>
      </c>
      <c r="AH224" s="12">
        <v>1.2406817018367267E-2</v>
      </c>
      <c r="AI224" s="10">
        <v>13303.108808290155</v>
      </c>
      <c r="AJ224" s="10">
        <v>8641.4141414141413</v>
      </c>
      <c r="AK224" s="5" t="s">
        <v>29</v>
      </c>
      <c r="AL224" s="5" t="s">
        <v>29</v>
      </c>
      <c r="AM224" s="4" t="s">
        <v>127</v>
      </c>
    </row>
    <row r="225" spans="1:39" x14ac:dyDescent="0.35">
      <c r="A225" s="5" t="s">
        <v>108</v>
      </c>
      <c r="B225" s="9" t="s">
        <v>6</v>
      </c>
      <c r="C225" s="5" t="s">
        <v>29</v>
      </c>
      <c r="D225" s="9" t="s">
        <v>6</v>
      </c>
      <c r="E225" s="16">
        <v>0.53184017945963458</v>
      </c>
      <c r="F225" s="24">
        <v>130.88180000000003</v>
      </c>
      <c r="G225" s="53">
        <v>0</v>
      </c>
      <c r="H225" s="10">
        <v>130.88180000000003</v>
      </c>
      <c r="I225" s="10">
        <v>103.95159171282671</v>
      </c>
      <c r="J225" s="10">
        <v>69.608200000000011</v>
      </c>
      <c r="K225" s="10">
        <v>11.256476683937825</v>
      </c>
      <c r="L225" s="10">
        <v>8.3888888888888893</v>
      </c>
      <c r="M225" s="10">
        <v>14.698026140000003</v>
      </c>
      <c r="N225" s="11">
        <v>0.05</v>
      </c>
      <c r="O225" s="12">
        <v>2.5899999999999999E-2</v>
      </c>
      <c r="P225" s="11">
        <v>3.6400000000000002E-2</v>
      </c>
      <c r="Q225" s="35">
        <v>26.930208287173315</v>
      </c>
      <c r="R225" s="12">
        <v>0.20575976405560825</v>
      </c>
      <c r="S225" s="10">
        <v>0</v>
      </c>
      <c r="T225" s="10">
        <v>0</v>
      </c>
      <c r="U225" s="22">
        <v>1</v>
      </c>
      <c r="V225" s="10">
        <v>22</v>
      </c>
      <c r="W225" s="10">
        <v>6.5440900000000015</v>
      </c>
      <c r="X225" s="40">
        <v>55.205348957338451</v>
      </c>
      <c r="Y225" s="39">
        <v>2.5093340435153841</v>
      </c>
      <c r="Z225" s="15">
        <v>0.64414017945963453</v>
      </c>
      <c r="AA225" s="10">
        <v>19.645365572826712</v>
      </c>
      <c r="AB225" s="10">
        <v>1989.6092900000001</v>
      </c>
      <c r="AC225" s="43">
        <v>6.5782664293852391E-2</v>
      </c>
      <c r="AD225" s="43">
        <v>2.2032924608338413E-2</v>
      </c>
      <c r="AE225" s="44">
        <v>1388.8888888888889</v>
      </c>
      <c r="AF225" s="10">
        <v>7000</v>
      </c>
      <c r="AG225" s="10">
        <v>5940.2826600000026</v>
      </c>
      <c r="AH225" s="12">
        <v>2.2032924608338413E-2</v>
      </c>
      <c r="AI225" s="10">
        <v>11256.476683937824</v>
      </c>
      <c r="AJ225" s="10">
        <v>8388.8888888888887</v>
      </c>
      <c r="AK225" s="5" t="s">
        <v>29</v>
      </c>
      <c r="AL225" s="5" t="s">
        <v>29</v>
      </c>
      <c r="AM225" s="4" t="s">
        <v>127</v>
      </c>
    </row>
    <row r="226" spans="1:39" x14ac:dyDescent="0.35">
      <c r="A226" s="5" t="s">
        <v>108</v>
      </c>
      <c r="B226" s="9" t="s">
        <v>30</v>
      </c>
      <c r="C226" s="5" t="s">
        <v>29</v>
      </c>
      <c r="D226" s="9" t="s">
        <v>30</v>
      </c>
      <c r="E226" s="16">
        <v>0</v>
      </c>
      <c r="F226" s="24">
        <v>0</v>
      </c>
      <c r="G226" s="53">
        <v>0.22331999999999999</v>
      </c>
      <c r="H226" s="10">
        <v>-0.22331999999999999</v>
      </c>
      <c r="I226" s="10">
        <v>3.0991573768775842</v>
      </c>
      <c r="J226" s="10">
        <v>0</v>
      </c>
      <c r="K226" s="10">
        <v>2.0466321243523318</v>
      </c>
      <c r="L226" s="10">
        <v>1.0525252525252524</v>
      </c>
      <c r="M226" s="10">
        <v>0</v>
      </c>
      <c r="N226" s="11">
        <v>0</v>
      </c>
      <c r="O226" s="12">
        <v>2.5899999999999999E-2</v>
      </c>
      <c r="P226" s="11">
        <v>3.6400000000000002E-2</v>
      </c>
      <c r="Q226" s="35">
        <v>-3.3224773768775844</v>
      </c>
      <c r="R226" s="12">
        <v>14.877652592143939</v>
      </c>
      <c r="S226" s="10">
        <v>0</v>
      </c>
      <c r="T226" s="10">
        <v>0</v>
      </c>
      <c r="U226" s="22">
        <v>1</v>
      </c>
      <c r="V226" s="10">
        <v>4</v>
      </c>
      <c r="W226" s="10">
        <v>0</v>
      </c>
      <c r="X226" s="40">
        <v>3.5432199817399854</v>
      </c>
      <c r="Y226" s="39">
        <v>0.88580499543499636</v>
      </c>
      <c r="Z226" s="15">
        <v>6.2300000000000001E-2</v>
      </c>
      <c r="AA226" s="10">
        <v>3.0991573768775842</v>
      </c>
      <c r="AB226" s="10">
        <v>1989.6092900000001</v>
      </c>
      <c r="AC226" s="43">
        <v>0</v>
      </c>
      <c r="AD226" s="43">
        <v>0</v>
      </c>
      <c r="AE226" s="44">
        <v>252.52525252525251</v>
      </c>
      <c r="AF226" s="10">
        <v>800</v>
      </c>
      <c r="AG226" s="10">
        <v>5940.2826600000026</v>
      </c>
      <c r="AH226" s="12">
        <v>0</v>
      </c>
      <c r="AI226" s="10">
        <v>2046.6321243523316</v>
      </c>
      <c r="AJ226" s="10">
        <v>1052.5252525252524</v>
      </c>
      <c r="AK226" s="5" t="s">
        <v>29</v>
      </c>
      <c r="AL226" s="5" t="s">
        <v>29</v>
      </c>
      <c r="AM226" s="4" t="s">
        <v>127</v>
      </c>
    </row>
    <row r="227" spans="1:39" x14ac:dyDescent="0.35">
      <c r="A227" s="5" t="s">
        <v>108</v>
      </c>
      <c r="B227" s="9" t="s">
        <v>33</v>
      </c>
      <c r="C227" s="5" t="s">
        <v>29</v>
      </c>
      <c r="D227" s="9" t="s">
        <v>33</v>
      </c>
      <c r="E227" s="16">
        <v>0.53892328817452739</v>
      </c>
      <c r="F227" s="24">
        <v>170.35028000000011</v>
      </c>
      <c r="G227" s="53">
        <v>0</v>
      </c>
      <c r="H227" s="10">
        <v>170.35028000000011</v>
      </c>
      <c r="I227" s="10">
        <v>121.47527207900062</v>
      </c>
      <c r="J227" s="10">
        <v>91.805733039051489</v>
      </c>
      <c r="K227" s="10">
        <v>9.2098445595854912</v>
      </c>
      <c r="L227" s="10">
        <v>4.7363636363636363</v>
      </c>
      <c r="M227" s="10">
        <v>15.723330844000008</v>
      </c>
      <c r="N227" s="11">
        <v>0.03</v>
      </c>
      <c r="O227" s="12">
        <v>2.5899999999999999E-2</v>
      </c>
      <c r="P227" s="11">
        <v>3.6400000000000002E-2</v>
      </c>
      <c r="Q227" s="35">
        <v>48.875007920999494</v>
      </c>
      <c r="R227" s="12">
        <v>0.28690887928684039</v>
      </c>
      <c r="S227" s="10">
        <v>0</v>
      </c>
      <c r="T227" s="10">
        <v>0</v>
      </c>
      <c r="U227" s="22">
        <v>1</v>
      </c>
      <c r="V227" s="10">
        <v>18</v>
      </c>
      <c r="W227" s="10">
        <v>5.1105084000000032</v>
      </c>
      <c r="X227" s="40">
        <v>37.817486160973516</v>
      </c>
      <c r="Y227" s="39">
        <v>2.1009714533874178</v>
      </c>
      <c r="Z227" s="15">
        <v>0.63122328817452744</v>
      </c>
      <c r="AA227" s="10">
        <v>13.946208195949128</v>
      </c>
      <c r="AB227" s="10">
        <v>1989.6092900000001</v>
      </c>
      <c r="AC227" s="43">
        <v>8.5619966119076629E-2</v>
      </c>
      <c r="AD227" s="43">
        <v>2.867713369046988E-2</v>
      </c>
      <c r="AE227" s="44">
        <v>1136.3636363636363</v>
      </c>
      <c r="AF227" s="10">
        <v>3600</v>
      </c>
      <c r="AG227" s="10">
        <v>5940.2826600000026</v>
      </c>
      <c r="AH227" s="12">
        <v>2.867713369046988E-2</v>
      </c>
      <c r="AI227" s="10">
        <v>9209.8445595854919</v>
      </c>
      <c r="AJ227" s="10">
        <v>4736.363636363636</v>
      </c>
      <c r="AK227" s="5" t="s">
        <v>29</v>
      </c>
      <c r="AL227" s="5" t="s">
        <v>29</v>
      </c>
      <c r="AM227" s="4" t="s">
        <v>127</v>
      </c>
    </row>
    <row r="228" spans="1:39" x14ac:dyDescent="0.35">
      <c r="A228" s="5" t="s">
        <v>108</v>
      </c>
      <c r="B228" s="9" t="s">
        <v>34</v>
      </c>
      <c r="C228" s="5" t="s">
        <v>29</v>
      </c>
      <c r="D228" s="9" t="s">
        <v>34</v>
      </c>
      <c r="E228" s="16">
        <v>0</v>
      </c>
      <c r="F228" s="24">
        <v>0</v>
      </c>
      <c r="G228" s="53">
        <v>0</v>
      </c>
      <c r="H228" s="10">
        <v>0</v>
      </c>
      <c r="I228" s="10">
        <v>9.8739467210969796</v>
      </c>
      <c r="J228" s="10">
        <v>0</v>
      </c>
      <c r="K228" s="10">
        <v>2.5582901554404143</v>
      </c>
      <c r="L228" s="10">
        <v>7.3156565656565657</v>
      </c>
      <c r="M228" s="10">
        <v>0</v>
      </c>
      <c r="N228" s="11">
        <v>0</v>
      </c>
      <c r="O228" s="12">
        <v>2.5899999999999999E-2</v>
      </c>
      <c r="P228" s="11">
        <v>3.6400000000000002E-2</v>
      </c>
      <c r="Q228" s="35">
        <v>-9.8739467210969796</v>
      </c>
      <c r="R228" s="12">
        <v>0</v>
      </c>
      <c r="S228" s="10">
        <v>0</v>
      </c>
      <c r="T228" s="10">
        <v>0</v>
      </c>
      <c r="U228" s="22">
        <v>1</v>
      </c>
      <c r="V228" s="10">
        <v>5</v>
      </c>
      <c r="W228" s="10">
        <v>0</v>
      </c>
      <c r="X228" s="40">
        <v>10.52996344363547</v>
      </c>
      <c r="Y228" s="39">
        <v>2.1059926887270941</v>
      </c>
      <c r="Z228" s="15">
        <v>6.2300000000000001E-2</v>
      </c>
      <c r="AA228" s="10">
        <v>9.8739467210969796</v>
      </c>
      <c r="AB228" s="10">
        <v>1989.6092900000001</v>
      </c>
      <c r="AC228" s="43">
        <v>0</v>
      </c>
      <c r="AD228" s="43">
        <v>0</v>
      </c>
      <c r="AE228" s="44">
        <v>315.65656565656565</v>
      </c>
      <c r="AF228" s="10">
        <v>7000</v>
      </c>
      <c r="AG228" s="10">
        <v>5940.2826600000026</v>
      </c>
      <c r="AH228" s="12">
        <v>0</v>
      </c>
      <c r="AI228" s="10">
        <v>2558.2901554404143</v>
      </c>
      <c r="AJ228" s="10">
        <v>7315.6565656565654</v>
      </c>
      <c r="AK228" s="5" t="s">
        <v>29</v>
      </c>
      <c r="AL228" s="5" t="s">
        <v>29</v>
      </c>
      <c r="AM228" s="4" t="s">
        <v>127</v>
      </c>
    </row>
    <row r="229" spans="1:39" x14ac:dyDescent="0.35">
      <c r="A229" s="5" t="s">
        <v>108</v>
      </c>
      <c r="B229" s="9" t="s">
        <v>63</v>
      </c>
      <c r="C229" s="5" t="s">
        <v>29</v>
      </c>
      <c r="D229" s="9" t="s">
        <v>63</v>
      </c>
      <c r="E229" s="16">
        <v>0.57921348314606746</v>
      </c>
      <c r="F229" s="24">
        <v>96.12</v>
      </c>
      <c r="G229" s="53">
        <v>16.203990000000001</v>
      </c>
      <c r="H229" s="10">
        <v>79.91601</v>
      </c>
      <c r="I229" s="10">
        <v>71.113980097974576</v>
      </c>
      <c r="J229" s="10">
        <v>55.674000000000007</v>
      </c>
      <c r="K229" s="10">
        <v>4.6049222797927456</v>
      </c>
      <c r="L229" s="10">
        <v>1.9631818181818179</v>
      </c>
      <c r="M229" s="10">
        <v>8.8718760000000003</v>
      </c>
      <c r="N229" s="11">
        <v>0.03</v>
      </c>
      <c r="O229" s="12">
        <v>2.5899999999999999E-2</v>
      </c>
      <c r="P229" s="11">
        <v>3.6400000000000002E-2</v>
      </c>
      <c r="Q229" s="35">
        <v>8.8020299020254242</v>
      </c>
      <c r="R229" s="12">
        <v>0.11014100806616127</v>
      </c>
      <c r="S229" s="10">
        <v>9.3855694887640464</v>
      </c>
      <c r="T229" s="10">
        <v>0.16858083645443198</v>
      </c>
      <c r="U229" s="22">
        <v>1</v>
      </c>
      <c r="V229" s="10">
        <v>9</v>
      </c>
      <c r="W229" s="10">
        <v>2.8835999999999999</v>
      </c>
      <c r="X229" s="40">
        <v>69.324288607256847</v>
      </c>
      <c r="Y229" s="39">
        <v>7.7026987341396493</v>
      </c>
      <c r="Z229" s="15">
        <v>0.6715134831460674</v>
      </c>
      <c r="AA229" s="10">
        <v>6.5681040979745635</v>
      </c>
      <c r="AB229" s="10">
        <v>1989.6092900000001</v>
      </c>
      <c r="AC229" s="43">
        <v>4.8310992757779093E-2</v>
      </c>
      <c r="AD229" s="43">
        <v>1.6181048192747103E-2</v>
      </c>
      <c r="AE229" s="44">
        <v>568.18181818181813</v>
      </c>
      <c r="AF229" s="10">
        <v>1395</v>
      </c>
      <c r="AG229" s="10">
        <v>5940.2826600000026</v>
      </c>
      <c r="AH229" s="12">
        <v>1.6181048192747103E-2</v>
      </c>
      <c r="AI229" s="10">
        <v>4604.9222797927459</v>
      </c>
      <c r="AJ229" s="10">
        <v>1963.181818181818</v>
      </c>
      <c r="AK229" s="5" t="s">
        <v>29</v>
      </c>
      <c r="AL229" s="5" t="s">
        <v>29</v>
      </c>
      <c r="AM229" s="4" t="s">
        <v>127</v>
      </c>
    </row>
    <row r="230" spans="1:39" x14ac:dyDescent="0.35">
      <c r="A230" s="5" t="s">
        <v>108</v>
      </c>
      <c r="B230" s="9" t="s">
        <v>35</v>
      </c>
      <c r="C230" s="5" t="s">
        <v>29</v>
      </c>
      <c r="D230" s="9" t="s">
        <v>35</v>
      </c>
      <c r="E230" s="16">
        <v>0</v>
      </c>
      <c r="F230" s="24">
        <v>0</v>
      </c>
      <c r="G230" s="53">
        <v>5</v>
      </c>
      <c r="H230" s="10">
        <v>-5</v>
      </c>
      <c r="I230" s="10">
        <v>0.74144934421939612</v>
      </c>
      <c r="J230" s="10">
        <v>0</v>
      </c>
      <c r="K230" s="10">
        <v>0.51165803108808294</v>
      </c>
      <c r="L230" s="10">
        <v>0.22979131313131312</v>
      </c>
      <c r="M230" s="10">
        <v>0</v>
      </c>
      <c r="N230" s="11">
        <v>0</v>
      </c>
      <c r="O230" s="12">
        <v>2.5899999999999999E-2</v>
      </c>
      <c r="P230" s="11">
        <v>3.6400000000000002E-2</v>
      </c>
      <c r="Q230" s="35">
        <v>-5.7414493442193963</v>
      </c>
      <c r="R230" s="12">
        <v>1.1482898688438792</v>
      </c>
      <c r="S230" s="10">
        <v>0</v>
      </c>
      <c r="T230" s="10">
        <v>0</v>
      </c>
      <c r="U230" s="22">
        <v>1</v>
      </c>
      <c r="V230" s="10">
        <v>1</v>
      </c>
      <c r="W230" s="10">
        <v>0</v>
      </c>
      <c r="X230" s="40">
        <v>6.122906413799079</v>
      </c>
      <c r="Y230" s="39">
        <v>6.122906413799079</v>
      </c>
      <c r="Z230" s="15">
        <v>6.2300000000000001E-2</v>
      </c>
      <c r="AA230" s="10">
        <v>0.74144934421939612</v>
      </c>
      <c r="AB230" s="10">
        <v>1989.6092900000001</v>
      </c>
      <c r="AC230" s="43">
        <v>0</v>
      </c>
      <c r="AD230" s="43">
        <v>0</v>
      </c>
      <c r="AE230" s="44">
        <v>63.131313131313128</v>
      </c>
      <c r="AF230" s="10">
        <v>166.66</v>
      </c>
      <c r="AG230" s="10">
        <v>5940.2826600000026</v>
      </c>
      <c r="AH230" s="12">
        <v>0</v>
      </c>
      <c r="AI230" s="10">
        <v>511.65803108808291</v>
      </c>
      <c r="AJ230" s="10">
        <v>229.79131313131313</v>
      </c>
      <c r="AK230" s="5" t="s">
        <v>29</v>
      </c>
      <c r="AL230" s="5" t="s">
        <v>29</v>
      </c>
      <c r="AM230" s="4" t="s">
        <v>127</v>
      </c>
    </row>
    <row r="231" spans="1:39" x14ac:dyDescent="0.35">
      <c r="A231" s="5" t="s">
        <v>108</v>
      </c>
      <c r="B231" s="9" t="s">
        <v>137</v>
      </c>
      <c r="C231" s="5" t="s">
        <v>29</v>
      </c>
      <c r="D231" s="9" t="s">
        <v>36</v>
      </c>
      <c r="E231" s="16">
        <v>0.50310296376743491</v>
      </c>
      <c r="F231" s="24">
        <v>36.610159999999993</v>
      </c>
      <c r="G231" s="53">
        <v>1.7561500000000001</v>
      </c>
      <c r="H231" s="10">
        <v>34.854009999999995</v>
      </c>
      <c r="I231" s="10">
        <v>23.972165800658182</v>
      </c>
      <c r="J231" s="10">
        <v>18.418679999999991</v>
      </c>
      <c r="K231" s="10">
        <v>1.5349740932642488</v>
      </c>
      <c r="L231" s="10">
        <v>0.6393939393939394</v>
      </c>
      <c r="M231" s="10">
        <v>3.3791177679999991</v>
      </c>
      <c r="N231" s="11">
        <v>0.03</v>
      </c>
      <c r="O231" s="12">
        <v>2.5899999999999999E-2</v>
      </c>
      <c r="P231" s="11">
        <v>3.6400000000000002E-2</v>
      </c>
      <c r="Q231" s="35">
        <v>10.881844199341813</v>
      </c>
      <c r="R231" s="12">
        <v>0.31221211560281914</v>
      </c>
      <c r="S231" s="10">
        <v>0.88352426982018084</v>
      </c>
      <c r="T231" s="10">
        <v>4.7968924473424872E-2</v>
      </c>
      <c r="U231" s="22">
        <v>1</v>
      </c>
      <c r="V231" s="10">
        <v>3</v>
      </c>
      <c r="W231" s="10">
        <v>1.0983047999999997</v>
      </c>
      <c r="X231" s="40">
        <v>9.7146486026133445</v>
      </c>
      <c r="Y231" s="39">
        <v>3.2382162008711148</v>
      </c>
      <c r="Z231" s="15">
        <v>0.59540296376743496</v>
      </c>
      <c r="AA231" s="10">
        <v>2.1743680326581885</v>
      </c>
      <c r="AB231" s="10">
        <v>1989.6092900000001</v>
      </c>
      <c r="AC231" s="43">
        <v>1.8400678054735053E-2</v>
      </c>
      <c r="AD231" s="43">
        <v>6.1630333260942801E-3</v>
      </c>
      <c r="AE231" s="44">
        <v>189.39393939393938</v>
      </c>
      <c r="AF231" s="10">
        <v>450</v>
      </c>
      <c r="AG231" s="10">
        <v>5940.2826600000026</v>
      </c>
      <c r="AH231" s="12">
        <v>6.1630333260942801E-3</v>
      </c>
      <c r="AI231" s="10">
        <v>1534.9740932642487</v>
      </c>
      <c r="AJ231" s="10">
        <v>639.39393939393938</v>
      </c>
      <c r="AK231" s="5" t="s">
        <v>29</v>
      </c>
      <c r="AL231" s="5" t="s">
        <v>29</v>
      </c>
      <c r="AM231" s="4" t="s">
        <v>127</v>
      </c>
    </row>
    <row r="232" spans="1:39" x14ac:dyDescent="0.35">
      <c r="A232" s="5" t="s">
        <v>108</v>
      </c>
      <c r="B232" s="9" t="s">
        <v>37</v>
      </c>
      <c r="C232" s="5" t="s">
        <v>29</v>
      </c>
      <c r="D232" s="9" t="s">
        <v>37</v>
      </c>
      <c r="E232" s="16">
        <v>0.52834448160535119</v>
      </c>
      <c r="F232" s="24">
        <v>7.1760000000000002</v>
      </c>
      <c r="G232" s="53">
        <v>5</v>
      </c>
      <c r="H232" s="10">
        <v>2.1760000000000002</v>
      </c>
      <c r="I232" s="10">
        <v>9.2493951752108288</v>
      </c>
      <c r="J232" s="10">
        <v>3.7914000000000003</v>
      </c>
      <c r="K232" s="10">
        <v>3.5816062176165806</v>
      </c>
      <c r="L232" s="10">
        <v>1.429324157594249</v>
      </c>
      <c r="M232" s="10">
        <v>0.44706480000000004</v>
      </c>
      <c r="N232" s="11">
        <v>0</v>
      </c>
      <c r="O232" s="12">
        <v>2.5899999999999999E-2</v>
      </c>
      <c r="P232" s="11">
        <v>3.6400000000000002E-2</v>
      </c>
      <c r="Q232" s="35">
        <v>-7.0733951752108286</v>
      </c>
      <c r="R232" s="12">
        <v>-3.2506411650785054</v>
      </c>
      <c r="S232" s="10">
        <v>2.6417224080267561</v>
      </c>
      <c r="T232" s="10">
        <v>0.69676700111482714</v>
      </c>
      <c r="U232" s="22">
        <v>1</v>
      </c>
      <c r="V232" s="10">
        <v>7</v>
      </c>
      <c r="W232" s="10">
        <v>0</v>
      </c>
      <c r="X232" s="40">
        <v>24.455344866169746</v>
      </c>
      <c r="Y232" s="39">
        <v>3.4936206951671065</v>
      </c>
      <c r="Z232" s="15">
        <v>0.59064448160535121</v>
      </c>
      <c r="AA232" s="10">
        <v>5.0109303752108296</v>
      </c>
      <c r="AB232" s="10">
        <v>1989.6092900000001</v>
      </c>
      <c r="AC232" s="43">
        <v>3.6067382857867536E-3</v>
      </c>
      <c r="AD232" s="43">
        <v>1.2080233232537789E-3</v>
      </c>
      <c r="AE232" s="44">
        <v>441.91919191919192</v>
      </c>
      <c r="AF232" s="10">
        <v>987.40496567505716</v>
      </c>
      <c r="AG232" s="10">
        <v>5940.2826600000026</v>
      </c>
      <c r="AH232" s="12">
        <v>1.2080233232537789E-3</v>
      </c>
      <c r="AI232" s="10">
        <v>3581.6062176165806</v>
      </c>
      <c r="AJ232" s="10">
        <v>1429.3241575942491</v>
      </c>
      <c r="AK232" s="5" t="s">
        <v>29</v>
      </c>
      <c r="AL232" s="5" t="s">
        <v>29</v>
      </c>
      <c r="AM232" s="4" t="s">
        <v>127</v>
      </c>
    </row>
    <row r="233" spans="1:39" x14ac:dyDescent="0.35">
      <c r="A233" s="5" t="s">
        <v>108</v>
      </c>
      <c r="B233" s="9" t="s">
        <v>38</v>
      </c>
      <c r="C233" s="5" t="s">
        <v>29</v>
      </c>
      <c r="D233" s="9" t="s">
        <v>38</v>
      </c>
      <c r="E233" s="16">
        <v>0.52661630669929427</v>
      </c>
      <c r="F233" s="24">
        <v>59.462649999999996</v>
      </c>
      <c r="G233" s="53">
        <v>22.16197</v>
      </c>
      <c r="H233" s="10">
        <v>37.30068</v>
      </c>
      <c r="I233" s="10">
        <v>87.70028472569112</v>
      </c>
      <c r="J233" s="10">
        <v>31.314001129552789</v>
      </c>
      <c r="K233" s="10">
        <v>35.304404145077726</v>
      </c>
      <c r="L233" s="10">
        <v>14.106910606060614</v>
      </c>
      <c r="M233" s="10">
        <v>6.9749688449999994</v>
      </c>
      <c r="N233" s="11">
        <v>5.5E-2</v>
      </c>
      <c r="O233" s="12">
        <v>2.5899999999999999E-2</v>
      </c>
      <c r="P233" s="11">
        <v>3.6400000000000002E-2</v>
      </c>
      <c r="Q233" s="35">
        <v>-50.39960472569112</v>
      </c>
      <c r="R233" s="12">
        <v>-1.3511712045381243</v>
      </c>
      <c r="S233" s="10">
        <v>11.67085479058056</v>
      </c>
      <c r="T233" s="10">
        <v>0.37270404194902179</v>
      </c>
      <c r="U233" s="22">
        <v>1</v>
      </c>
      <c r="V233" s="10">
        <v>69</v>
      </c>
      <c r="W233" s="10">
        <v>3.2704457499999999</v>
      </c>
      <c r="X233" s="40">
        <v>201.00129856464977</v>
      </c>
      <c r="Y233" s="39">
        <v>2.9130622980384024</v>
      </c>
      <c r="Z233" s="15">
        <v>0.64391630669929423</v>
      </c>
      <c r="AA233" s="10">
        <v>49.411314751138342</v>
      </c>
      <c r="AB233" s="10">
        <v>1989.6092900000001</v>
      </c>
      <c r="AC233" s="43">
        <v>2.988659647844728E-2</v>
      </c>
      <c r="AD233" s="43">
        <v>1.0010070800233599E-2</v>
      </c>
      <c r="AE233" s="44">
        <v>4356.060606060606</v>
      </c>
      <c r="AF233" s="10">
        <v>9750.8500000000076</v>
      </c>
      <c r="AG233" s="10">
        <v>5940.2826600000026</v>
      </c>
      <c r="AH233" s="12">
        <v>1.0010070800233599E-2</v>
      </c>
      <c r="AI233" s="10">
        <v>35304.404145077722</v>
      </c>
      <c r="AJ233" s="10">
        <v>14106.910606060614</v>
      </c>
      <c r="AK233" s="5" t="s">
        <v>29</v>
      </c>
      <c r="AL233" s="5" t="s">
        <v>29</v>
      </c>
      <c r="AM233" s="4" t="s">
        <v>127</v>
      </c>
    </row>
    <row r="234" spans="1:39" x14ac:dyDescent="0.35">
      <c r="A234" s="5" t="s">
        <v>108</v>
      </c>
      <c r="B234" s="9" t="s">
        <v>39</v>
      </c>
      <c r="C234" s="5" t="s">
        <v>29</v>
      </c>
      <c r="D234" s="9" t="s">
        <v>39</v>
      </c>
      <c r="E234" s="16">
        <v>0.53514454755508012</v>
      </c>
      <c r="F234" s="24">
        <v>191.46640000000011</v>
      </c>
      <c r="G234" s="53">
        <v>0</v>
      </c>
      <c r="H234" s="10">
        <v>191.46640000000011</v>
      </c>
      <c r="I234" s="10">
        <v>199.54452884833668</v>
      </c>
      <c r="J234" s="10">
        <v>102.46220000000005</v>
      </c>
      <c r="K234" s="10">
        <v>53.212435233160619</v>
      </c>
      <c r="L234" s="10">
        <v>26.197544895176001</v>
      </c>
      <c r="M234" s="10">
        <v>17.672348720000009</v>
      </c>
      <c r="N234" s="11">
        <v>0.03</v>
      </c>
      <c r="O234" s="12">
        <v>2.5899999999999999E-2</v>
      </c>
      <c r="P234" s="11">
        <v>3.6400000000000002E-2</v>
      </c>
      <c r="Q234" s="35">
        <v>-8.0781288483365756</v>
      </c>
      <c r="R234" s="12">
        <v>-4.2190843136636881E-2</v>
      </c>
      <c r="S234" s="10">
        <v>0</v>
      </c>
      <c r="T234" s="10">
        <v>0</v>
      </c>
      <c r="U234" s="22">
        <v>1</v>
      </c>
      <c r="V234" s="10">
        <v>104</v>
      </c>
      <c r="W234" s="10">
        <v>5.7439920000000031</v>
      </c>
      <c r="X234" s="40">
        <v>213.1494240849338</v>
      </c>
      <c r="Y234" s="39">
        <v>2.0495136931243634</v>
      </c>
      <c r="Z234" s="15">
        <v>0.62744454755508006</v>
      </c>
      <c r="AA234" s="10">
        <v>79.409980128336628</v>
      </c>
      <c r="AB234" s="10">
        <v>1989.6092900000001</v>
      </c>
      <c r="AC234" s="43">
        <v>9.623316545732459E-2</v>
      </c>
      <c r="AD234" s="43">
        <v>3.2231866892340783E-2</v>
      </c>
      <c r="AE234" s="44">
        <v>6565.6565656565654</v>
      </c>
      <c r="AF234" s="10">
        <v>19631.888329519436</v>
      </c>
      <c r="AG234" s="10">
        <v>5940.2826600000026</v>
      </c>
      <c r="AH234" s="12">
        <v>3.2231866892340783E-2</v>
      </c>
      <c r="AI234" s="10">
        <v>53212.435233160621</v>
      </c>
      <c r="AJ234" s="10">
        <v>26197.544895176001</v>
      </c>
      <c r="AK234" s="5" t="s">
        <v>29</v>
      </c>
      <c r="AL234" s="5" t="s">
        <v>29</v>
      </c>
      <c r="AM234" s="4" t="s">
        <v>127</v>
      </c>
    </row>
    <row r="235" spans="1:39" x14ac:dyDescent="0.35">
      <c r="A235" s="5" t="s">
        <v>108</v>
      </c>
      <c r="B235" s="9" t="s">
        <v>40</v>
      </c>
      <c r="C235" s="5" t="s">
        <v>29</v>
      </c>
      <c r="D235" s="9" t="s">
        <v>40</v>
      </c>
      <c r="E235" s="16">
        <v>0.55552886219552877</v>
      </c>
      <c r="F235" s="24">
        <v>28.752000000000002</v>
      </c>
      <c r="G235" s="53">
        <v>48.021679999999996</v>
      </c>
      <c r="H235" s="10">
        <v>-19.269679999999994</v>
      </c>
      <c r="I235" s="10">
        <v>43.826032516407999</v>
      </c>
      <c r="J235" s="10">
        <v>15.972565845845844</v>
      </c>
      <c r="K235" s="10">
        <v>17.9080310880829</v>
      </c>
      <c r="L235" s="10">
        <v>7.2916259824792551</v>
      </c>
      <c r="M235" s="10">
        <v>2.6538096000000002</v>
      </c>
      <c r="N235" s="11">
        <v>0.03</v>
      </c>
      <c r="O235" s="12">
        <v>2.5899999999999999E-2</v>
      </c>
      <c r="P235" s="11">
        <v>3.6400000000000002E-2</v>
      </c>
      <c r="Q235" s="35">
        <v>-63.095712516407993</v>
      </c>
      <c r="R235" s="12">
        <v>3.2743518582772526</v>
      </c>
      <c r="S235" s="10">
        <v>26.677429251117779</v>
      </c>
      <c r="T235" s="10">
        <v>1.6702031163049524</v>
      </c>
      <c r="U235" s="22">
        <v>1</v>
      </c>
      <c r="V235" s="10">
        <v>35</v>
      </c>
      <c r="W235" s="10">
        <v>0.86255999999999999</v>
      </c>
      <c r="X235" s="40">
        <v>207.91407702244851</v>
      </c>
      <c r="Y235" s="39">
        <v>5.9404022006413859</v>
      </c>
      <c r="Z235" s="15">
        <v>0.64782886219552882</v>
      </c>
      <c r="AA235" s="10">
        <v>25.199657070562154</v>
      </c>
      <c r="AB235" s="10">
        <v>1989.6092900000001</v>
      </c>
      <c r="AC235" s="43">
        <v>1.4451078482851274E-2</v>
      </c>
      <c r="AD235" s="43">
        <v>4.8401737165820304E-3</v>
      </c>
      <c r="AE235" s="44">
        <v>2209.5959595959594</v>
      </c>
      <c r="AF235" s="10">
        <v>5082.0300228832957</v>
      </c>
      <c r="AG235" s="10">
        <v>5940.2826600000026</v>
      </c>
      <c r="AH235" s="12">
        <v>4.8401737165820304E-3</v>
      </c>
      <c r="AI235" s="10">
        <v>17908.031088082902</v>
      </c>
      <c r="AJ235" s="10">
        <v>7291.6259824792551</v>
      </c>
      <c r="AK235" s="5" t="s">
        <v>29</v>
      </c>
      <c r="AL235" s="5" t="s">
        <v>29</v>
      </c>
      <c r="AM235" s="4" t="s">
        <v>127</v>
      </c>
    </row>
    <row r="236" spans="1:39" x14ac:dyDescent="0.35">
      <c r="A236" s="5" t="s">
        <v>108</v>
      </c>
      <c r="B236" s="9" t="s">
        <v>41</v>
      </c>
      <c r="C236" s="5" t="s">
        <v>29</v>
      </c>
      <c r="D236" s="9" t="s">
        <v>41</v>
      </c>
      <c r="E236" s="16">
        <v>0</v>
      </c>
      <c r="F236" s="24">
        <v>0</v>
      </c>
      <c r="G236" s="53">
        <v>57.969929999999998</v>
      </c>
      <c r="H236" s="10">
        <v>-57.969929999999998</v>
      </c>
      <c r="I236" s="10">
        <v>24.714187817875942</v>
      </c>
      <c r="J236" s="10">
        <v>0</v>
      </c>
      <c r="K236" s="10">
        <v>17.396373056994822</v>
      </c>
      <c r="L236" s="10">
        <v>7.317814760881121</v>
      </c>
      <c r="M236" s="10">
        <v>0</v>
      </c>
      <c r="N236" s="11">
        <v>0.03</v>
      </c>
      <c r="O236" s="12">
        <v>2.5899999999999999E-2</v>
      </c>
      <c r="P236" s="11">
        <v>3.6400000000000002E-2</v>
      </c>
      <c r="Q236" s="35">
        <v>-82.684117817875944</v>
      </c>
      <c r="R236" s="12">
        <v>1.4263277153840956</v>
      </c>
      <c r="S236" s="10">
        <v>0</v>
      </c>
      <c r="T236" s="10">
        <v>0</v>
      </c>
      <c r="U236" s="22">
        <v>1</v>
      </c>
      <c r="V236" s="10">
        <v>34</v>
      </c>
      <c r="W236" s="10">
        <v>0</v>
      </c>
      <c r="X236" s="40">
        <v>91.091900206980213</v>
      </c>
      <c r="Y236" s="39">
        <v>2.6791735354994182</v>
      </c>
      <c r="Z236" s="15">
        <v>9.2299999999999993E-2</v>
      </c>
      <c r="AA236" s="10">
        <v>24.714187817875942</v>
      </c>
      <c r="AB236" s="10">
        <v>1989.6092900000001</v>
      </c>
      <c r="AC236" s="43">
        <v>0</v>
      </c>
      <c r="AD236" s="43">
        <v>0</v>
      </c>
      <c r="AE236" s="44">
        <v>2146.4646464646462</v>
      </c>
      <c r="AF236" s="10">
        <v>5171.3501144164757</v>
      </c>
      <c r="AG236" s="10">
        <v>5940.2826600000026</v>
      </c>
      <c r="AH236" s="12">
        <v>0</v>
      </c>
      <c r="AI236" s="10">
        <v>17396.37305699482</v>
      </c>
      <c r="AJ236" s="10">
        <v>7317.8147608811214</v>
      </c>
      <c r="AK236" s="5" t="s">
        <v>29</v>
      </c>
      <c r="AL236" s="5" t="s">
        <v>29</v>
      </c>
      <c r="AM236" s="4" t="s">
        <v>127</v>
      </c>
    </row>
    <row r="237" spans="1:39" x14ac:dyDescent="0.35">
      <c r="A237" s="5" t="s">
        <v>108</v>
      </c>
      <c r="B237" s="9" t="s">
        <v>42</v>
      </c>
      <c r="C237" s="5" t="s">
        <v>29</v>
      </c>
      <c r="D237" s="9" t="s">
        <v>42</v>
      </c>
      <c r="E237" s="16">
        <v>0.57548696350436734</v>
      </c>
      <c r="F237" s="24">
        <v>366.12600000000009</v>
      </c>
      <c r="G237" s="53">
        <v>57.283779999999993</v>
      </c>
      <c r="H237" s="10">
        <v>308.84222000000011</v>
      </c>
      <c r="I237" s="10">
        <v>259.54122061907162</v>
      </c>
      <c r="J237" s="10">
        <v>210.70074000000005</v>
      </c>
      <c r="K237" s="10">
        <v>7.1632124352331612</v>
      </c>
      <c r="L237" s="10">
        <v>7.8838383838383832</v>
      </c>
      <c r="M237" s="10">
        <v>33.793429800000006</v>
      </c>
      <c r="N237" s="11">
        <v>0.03</v>
      </c>
      <c r="O237" s="12">
        <v>2.5899999999999999E-2</v>
      </c>
      <c r="P237" s="11">
        <v>3.6400000000000002E-2</v>
      </c>
      <c r="Q237" s="35">
        <v>49.300999380928488</v>
      </c>
      <c r="R237" s="12">
        <v>0.15963167011598503</v>
      </c>
      <c r="S237" s="10">
        <v>32.966068610252201</v>
      </c>
      <c r="T237" s="10">
        <v>0.15645919710700681</v>
      </c>
      <c r="U237" s="22">
        <v>1</v>
      </c>
      <c r="V237" s="10">
        <v>14</v>
      </c>
      <c r="W237" s="10">
        <v>10.983780000000003</v>
      </c>
      <c r="X237" s="40">
        <v>217.72423978919451</v>
      </c>
      <c r="Y237" s="39">
        <v>15.551731413513894</v>
      </c>
      <c r="Z237" s="15">
        <v>0.66778696350436739</v>
      </c>
      <c r="AA237" s="10">
        <v>15.047050819071544</v>
      </c>
      <c r="AB237" s="10">
        <v>1989.6092900000001</v>
      </c>
      <c r="AC237" s="43">
        <v>0.18401904426170029</v>
      </c>
      <c r="AD237" s="43">
        <v>6.1634440809589346E-2</v>
      </c>
      <c r="AE237" s="44">
        <v>883.83838383838383</v>
      </c>
      <c r="AF237" s="10">
        <v>7000</v>
      </c>
      <c r="AG237" s="10">
        <v>5940.2826600000026</v>
      </c>
      <c r="AH237" s="12">
        <v>6.1634440809589346E-2</v>
      </c>
      <c r="AI237" s="10">
        <v>7163.2124352331612</v>
      </c>
      <c r="AJ237" s="10">
        <v>7883.8383838383834</v>
      </c>
      <c r="AK237" s="5" t="s">
        <v>29</v>
      </c>
      <c r="AL237" s="5" t="s">
        <v>29</v>
      </c>
      <c r="AM237" s="4" t="s">
        <v>127</v>
      </c>
    </row>
    <row r="238" spans="1:39" x14ac:dyDescent="0.35">
      <c r="A238" s="5" t="s">
        <v>108</v>
      </c>
      <c r="B238" s="9" t="s">
        <v>137</v>
      </c>
      <c r="C238" s="5" t="s">
        <v>29</v>
      </c>
      <c r="D238" s="9" t="s">
        <v>43</v>
      </c>
      <c r="E238" s="16">
        <v>0</v>
      </c>
      <c r="F238" s="24">
        <v>0</v>
      </c>
      <c r="G238" s="53">
        <v>0</v>
      </c>
      <c r="H238" s="10">
        <v>0</v>
      </c>
      <c r="I238" s="10">
        <v>0.72478934421939611</v>
      </c>
      <c r="J238" s="10">
        <v>0</v>
      </c>
      <c r="K238" s="10">
        <v>0.51165803108808294</v>
      </c>
      <c r="L238" s="10">
        <v>0.21313131313131314</v>
      </c>
      <c r="M238" s="10">
        <v>0</v>
      </c>
      <c r="N238" s="11">
        <v>0.03</v>
      </c>
      <c r="O238" s="12">
        <v>2.5899999999999999E-2</v>
      </c>
      <c r="P238" s="11">
        <v>3.6400000000000002E-2</v>
      </c>
      <c r="Q238" s="35">
        <v>-0.72478934421939611</v>
      </c>
      <c r="R238" s="12">
        <v>0</v>
      </c>
      <c r="S238" s="10">
        <v>0</v>
      </c>
      <c r="T238" s="10">
        <v>0</v>
      </c>
      <c r="U238" s="22">
        <v>1</v>
      </c>
      <c r="V238" s="10">
        <v>1</v>
      </c>
      <c r="W238" s="10">
        <v>0</v>
      </c>
      <c r="X238" s="40">
        <v>0.79848996829282382</v>
      </c>
      <c r="Y238" s="39">
        <v>0.79848996829282382</v>
      </c>
      <c r="Z238" s="15">
        <v>9.2299999999999993E-2</v>
      </c>
      <c r="AA238" s="10">
        <v>0.72478934421939611</v>
      </c>
      <c r="AB238" s="10">
        <v>1989.6092900000001</v>
      </c>
      <c r="AC238" s="43">
        <v>0</v>
      </c>
      <c r="AD238" s="43">
        <v>0</v>
      </c>
      <c r="AE238" s="44">
        <v>63.131313131313128</v>
      </c>
      <c r="AF238" s="10">
        <v>150</v>
      </c>
      <c r="AG238" s="10">
        <v>5940.2826600000026</v>
      </c>
      <c r="AH238" s="12">
        <v>0</v>
      </c>
      <c r="AI238" s="10">
        <v>511.65803108808291</v>
      </c>
      <c r="AJ238" s="10">
        <v>213.13131313131314</v>
      </c>
      <c r="AK238" s="5" t="s">
        <v>29</v>
      </c>
      <c r="AL238" s="5" t="s">
        <v>29</v>
      </c>
      <c r="AM238" s="4" t="s">
        <v>127</v>
      </c>
    </row>
    <row r="239" spans="1:39" x14ac:dyDescent="0.35">
      <c r="A239" s="5" t="s">
        <v>108</v>
      </c>
      <c r="B239" s="9" t="s">
        <v>137</v>
      </c>
      <c r="C239" s="5" t="s">
        <v>29</v>
      </c>
      <c r="D239" s="9" t="s">
        <v>44</v>
      </c>
      <c r="E239" s="16">
        <v>0</v>
      </c>
      <c r="F239" s="24">
        <v>0</v>
      </c>
      <c r="G239" s="53">
        <v>0</v>
      </c>
      <c r="H239" s="10">
        <v>0</v>
      </c>
      <c r="I239" s="10">
        <v>2.8991573768775845</v>
      </c>
      <c r="J239" s="10">
        <v>0</v>
      </c>
      <c r="K239" s="10">
        <v>2.0466321243523318</v>
      </c>
      <c r="L239" s="10">
        <v>0.85252525252525257</v>
      </c>
      <c r="M239" s="10">
        <v>0</v>
      </c>
      <c r="N239" s="11">
        <v>0.03</v>
      </c>
      <c r="O239" s="12">
        <v>2.5899999999999999E-2</v>
      </c>
      <c r="P239" s="11">
        <v>3.6400000000000002E-2</v>
      </c>
      <c r="Q239" s="35">
        <v>-2.8991573768775845</v>
      </c>
      <c r="R239" s="12">
        <v>0</v>
      </c>
      <c r="S239" s="10">
        <v>0</v>
      </c>
      <c r="T239" s="10">
        <v>0</v>
      </c>
      <c r="U239" s="22">
        <v>1</v>
      </c>
      <c r="V239" s="10">
        <v>4</v>
      </c>
      <c r="W239" s="10">
        <v>0</v>
      </c>
      <c r="X239" s="40">
        <v>3.1939598731712953</v>
      </c>
      <c r="Y239" s="39">
        <v>0.79848996829282382</v>
      </c>
      <c r="Z239" s="15">
        <v>9.2299999999999993E-2</v>
      </c>
      <c r="AA239" s="10">
        <v>2.8991573768775845</v>
      </c>
      <c r="AB239" s="10">
        <v>1989.6092900000001</v>
      </c>
      <c r="AC239" s="43">
        <v>0</v>
      </c>
      <c r="AD239" s="43">
        <v>0</v>
      </c>
      <c r="AE239" s="44">
        <v>252.52525252525251</v>
      </c>
      <c r="AF239" s="10">
        <v>600</v>
      </c>
      <c r="AG239" s="10">
        <v>5940.2826600000026</v>
      </c>
      <c r="AH239" s="12">
        <v>0</v>
      </c>
      <c r="AI239" s="10">
        <v>2046.6321243523316</v>
      </c>
      <c r="AJ239" s="10">
        <v>852.52525252525254</v>
      </c>
      <c r="AK239" s="5" t="s">
        <v>29</v>
      </c>
      <c r="AL239" s="5" t="s">
        <v>29</v>
      </c>
      <c r="AM239" s="4" t="s">
        <v>127</v>
      </c>
    </row>
    <row r="240" spans="1:39" x14ac:dyDescent="0.35">
      <c r="A240" s="5" t="s">
        <v>108</v>
      </c>
      <c r="B240" s="9" t="s">
        <v>137</v>
      </c>
      <c r="C240" s="5" t="s">
        <v>29</v>
      </c>
      <c r="D240" s="9" t="s">
        <v>121</v>
      </c>
      <c r="E240" s="16">
        <v>0</v>
      </c>
      <c r="F240" s="24">
        <v>0</v>
      </c>
      <c r="G240" s="53">
        <v>0</v>
      </c>
      <c r="H240" s="10">
        <v>0</v>
      </c>
      <c r="I240" s="10">
        <v>0</v>
      </c>
      <c r="J240" s="10">
        <v>0</v>
      </c>
      <c r="K240" s="10">
        <v>0</v>
      </c>
      <c r="L240" s="10">
        <v>0</v>
      </c>
      <c r="M240" s="10">
        <v>0</v>
      </c>
      <c r="N240" s="11">
        <v>0.03</v>
      </c>
      <c r="O240" s="12">
        <v>2.5899999999999999E-2</v>
      </c>
      <c r="P240" s="11">
        <v>3.6400000000000002E-2</v>
      </c>
      <c r="Q240" s="35">
        <v>0</v>
      </c>
      <c r="R240" s="12">
        <v>0</v>
      </c>
      <c r="S240" s="10">
        <v>0</v>
      </c>
      <c r="T240" s="10">
        <v>0</v>
      </c>
      <c r="U240" s="22">
        <v>1</v>
      </c>
      <c r="V240" s="10">
        <v>0</v>
      </c>
      <c r="W240" s="10">
        <v>0</v>
      </c>
      <c r="X240" s="40">
        <v>0</v>
      </c>
      <c r="Y240" s="39">
        <v>0</v>
      </c>
      <c r="Z240" s="15">
        <v>9.2299999999999993E-2</v>
      </c>
      <c r="AA240" s="10">
        <v>0</v>
      </c>
      <c r="AB240" s="10">
        <v>1989.6092900000001</v>
      </c>
      <c r="AC240" s="43">
        <v>0</v>
      </c>
      <c r="AD240" s="43">
        <v>0</v>
      </c>
      <c r="AE240" s="44">
        <v>0</v>
      </c>
      <c r="AF240" s="10">
        <v>0</v>
      </c>
      <c r="AG240" s="10">
        <v>5940.2826600000026</v>
      </c>
      <c r="AH240" s="12">
        <v>0</v>
      </c>
      <c r="AI240" s="10">
        <v>0</v>
      </c>
      <c r="AJ240" s="10">
        <v>0</v>
      </c>
      <c r="AK240" s="5" t="s">
        <v>29</v>
      </c>
      <c r="AL240" s="5" t="s">
        <v>29</v>
      </c>
      <c r="AM240" s="4" t="s">
        <v>127</v>
      </c>
    </row>
    <row r="241" spans="1:39" x14ac:dyDescent="0.35">
      <c r="A241" s="5" t="s">
        <v>108</v>
      </c>
      <c r="B241" s="9" t="s">
        <v>63</v>
      </c>
      <c r="C241" s="5" t="s">
        <v>29</v>
      </c>
      <c r="D241" s="9" t="s">
        <v>64</v>
      </c>
      <c r="E241" s="16">
        <v>0.58348679245283019</v>
      </c>
      <c r="F241" s="24">
        <v>13.25</v>
      </c>
      <c r="G241" s="53">
        <v>0.5141</v>
      </c>
      <c r="H241" s="10">
        <v>12.735900000000001</v>
      </c>
      <c r="I241" s="10">
        <v>9.5289643442193963</v>
      </c>
      <c r="J241" s="10">
        <v>7.7312000000000003</v>
      </c>
      <c r="K241" s="10">
        <v>0.51165803108808294</v>
      </c>
      <c r="L241" s="10">
        <v>6.3131313131313122E-2</v>
      </c>
      <c r="M241" s="10">
        <v>1.2229749999999999</v>
      </c>
      <c r="N241" s="11">
        <v>0.03</v>
      </c>
      <c r="O241" s="12">
        <v>2.5899999999999999E-2</v>
      </c>
      <c r="P241" s="11">
        <v>3.6400000000000002E-2</v>
      </c>
      <c r="Q241" s="35">
        <v>3.2069356557806046</v>
      </c>
      <c r="R241" s="12">
        <v>0.25180282946478888</v>
      </c>
      <c r="S241" s="10">
        <v>0.29997056</v>
      </c>
      <c r="T241" s="10">
        <v>3.8800000000000001E-2</v>
      </c>
      <c r="U241" s="22">
        <v>1</v>
      </c>
      <c r="V241" s="10">
        <v>1</v>
      </c>
      <c r="W241" s="10">
        <v>0.39749999999999996</v>
      </c>
      <c r="X241" s="40">
        <v>3.3585594876204223</v>
      </c>
      <c r="Y241" s="39">
        <v>3.3585594876204223</v>
      </c>
      <c r="Z241" s="15">
        <v>0.67578679245283024</v>
      </c>
      <c r="AA241" s="10">
        <v>0.57478934421939609</v>
      </c>
      <c r="AB241" s="10">
        <v>1989.6092900000001</v>
      </c>
      <c r="AC241" s="43">
        <v>6.6595989808632223E-3</v>
      </c>
      <c r="AD241" s="43">
        <v>2.2305335887838028E-3</v>
      </c>
      <c r="AE241" s="44">
        <v>63.131313131313128</v>
      </c>
      <c r="AF241" s="10">
        <v>0</v>
      </c>
      <c r="AG241" s="10">
        <v>5940.2826600000026</v>
      </c>
      <c r="AH241" s="12">
        <v>2.2305335887838028E-3</v>
      </c>
      <c r="AI241" s="10">
        <v>511.65803108808291</v>
      </c>
      <c r="AJ241" s="10">
        <v>63.131313131313128</v>
      </c>
      <c r="AK241" s="5" t="s">
        <v>29</v>
      </c>
      <c r="AL241" s="5" t="s">
        <v>29</v>
      </c>
      <c r="AM241" s="4" t="s">
        <v>127</v>
      </c>
    </row>
    <row r="242" spans="1:39" x14ac:dyDescent="0.35">
      <c r="A242" s="5" t="s">
        <v>108</v>
      </c>
      <c r="B242" s="9" t="s">
        <v>48</v>
      </c>
      <c r="C242" s="5" t="s">
        <v>29</v>
      </c>
      <c r="D242" s="9" t="s">
        <v>48</v>
      </c>
      <c r="E242" s="16">
        <v>0.54037989001754227</v>
      </c>
      <c r="F242" s="24">
        <v>617.83399999999972</v>
      </c>
      <c r="G242" s="53">
        <v>92.146000000000001</v>
      </c>
      <c r="H242" s="10">
        <v>525.68799999999976</v>
      </c>
      <c r="I242" s="10">
        <v>420.30793159365442</v>
      </c>
      <c r="J242" s="10">
        <v>333.86506896909805</v>
      </c>
      <c r="K242" s="10">
        <v>19.954663212435232</v>
      </c>
      <c r="L242" s="10">
        <v>9.4621212121212128</v>
      </c>
      <c r="M242" s="10">
        <v>57.026078199999972</v>
      </c>
      <c r="N242" s="11">
        <v>0.03</v>
      </c>
      <c r="O242" s="12">
        <v>2.5899999999999999E-2</v>
      </c>
      <c r="P242" s="11">
        <v>3.6400000000000002E-2</v>
      </c>
      <c r="Q242" s="35">
        <v>105.38006840634534</v>
      </c>
      <c r="R242" s="12">
        <v>0.20046124013929439</v>
      </c>
      <c r="S242" s="10">
        <v>49.793845345556448</v>
      </c>
      <c r="T242" s="10">
        <v>0.14914362110210841</v>
      </c>
      <c r="U242" s="22">
        <v>1</v>
      </c>
      <c r="V242" s="10">
        <v>39</v>
      </c>
      <c r="W242" s="10">
        <v>18.535019999999992</v>
      </c>
      <c r="X242" s="40">
        <v>330.94508337798874</v>
      </c>
      <c r="Y242" s="39">
        <v>8.4857713686663772</v>
      </c>
      <c r="Z242" s="15">
        <v>0.63267989001754232</v>
      </c>
      <c r="AA242" s="10">
        <v>29.416784424556447</v>
      </c>
      <c r="AB242" s="10">
        <v>1989.6092900000001</v>
      </c>
      <c r="AC242" s="43">
        <v>0.31053031522586011</v>
      </c>
      <c r="AD242" s="43">
        <v>0.10400750862586049</v>
      </c>
      <c r="AE242" s="44">
        <v>2462.121212121212</v>
      </c>
      <c r="AF242" s="10">
        <v>6999.9999999999991</v>
      </c>
      <c r="AG242" s="10">
        <v>5940.2826600000026</v>
      </c>
      <c r="AH242" s="12">
        <v>0.10400750862586049</v>
      </c>
      <c r="AI242" s="10">
        <v>19954.663212435233</v>
      </c>
      <c r="AJ242" s="10">
        <v>9462.121212121212</v>
      </c>
      <c r="AK242" s="5" t="s">
        <v>29</v>
      </c>
      <c r="AL242" s="5" t="s">
        <v>29</v>
      </c>
      <c r="AM242" s="4" t="s">
        <v>127</v>
      </c>
    </row>
    <row r="243" spans="1:39" x14ac:dyDescent="0.35">
      <c r="A243" s="5" t="s">
        <v>108</v>
      </c>
      <c r="B243" s="9" t="s">
        <v>73</v>
      </c>
      <c r="C243" s="5" t="s">
        <v>29</v>
      </c>
      <c r="D243" s="9" t="s">
        <v>73</v>
      </c>
      <c r="E243" s="16">
        <v>0.56401680672268906</v>
      </c>
      <c r="F243" s="24">
        <v>47.599999999999994</v>
      </c>
      <c r="G243" s="53">
        <v>3.3657900000000001</v>
      </c>
      <c r="H243" s="10">
        <v>44.234209999999997</v>
      </c>
      <c r="I243" s="10">
        <v>31.240679999999998</v>
      </c>
      <c r="J243" s="10">
        <v>26.847199999999997</v>
      </c>
      <c r="K243" s="10">
        <v>0</v>
      </c>
      <c r="L243" s="10">
        <v>0</v>
      </c>
      <c r="M243" s="10">
        <v>4.3934799999999994</v>
      </c>
      <c r="N243" s="11">
        <v>0.03</v>
      </c>
      <c r="O243" s="12">
        <v>2.5899999999999999E-2</v>
      </c>
      <c r="P243" s="11">
        <v>3.6400000000000002E-2</v>
      </c>
      <c r="Q243" s="35">
        <v>12.99353</v>
      </c>
      <c r="R243" s="12">
        <v>0.29374391449513848</v>
      </c>
      <c r="S243" s="10">
        <v>1.8983621278991596</v>
      </c>
      <c r="T243" s="10">
        <v>7.0709873949579838E-2</v>
      </c>
      <c r="U243" s="22">
        <v>1</v>
      </c>
      <c r="V243" s="10">
        <v>0</v>
      </c>
      <c r="W243" s="10">
        <v>1.4279999999999997</v>
      </c>
      <c r="X243" s="40">
        <v>9.7932923862361001</v>
      </c>
      <c r="Y243" s="39">
        <v>9.7932923862361001</v>
      </c>
      <c r="Z243" s="15">
        <v>0.65631680672268899</v>
      </c>
      <c r="AA243" s="10">
        <v>0</v>
      </c>
      <c r="AB243" s="10">
        <v>1989.6092900000001</v>
      </c>
      <c r="AC243" s="43">
        <v>2.3924295206723723E-2</v>
      </c>
      <c r="AD243" s="43">
        <v>8.0130867038572823E-3</v>
      </c>
      <c r="AE243" s="44">
        <v>0</v>
      </c>
      <c r="AF243" s="10">
        <v>0</v>
      </c>
      <c r="AG243" s="10">
        <v>5940.2826600000026</v>
      </c>
      <c r="AH243" s="12">
        <v>8.0130867038572823E-3</v>
      </c>
      <c r="AI243" s="10">
        <v>0</v>
      </c>
      <c r="AJ243" s="10">
        <v>0</v>
      </c>
      <c r="AK243" s="5" t="s">
        <v>29</v>
      </c>
      <c r="AL243" s="5" t="s">
        <v>29</v>
      </c>
      <c r="AM243" s="4" t="s">
        <v>127</v>
      </c>
    </row>
    <row r="244" spans="1:39" x14ac:dyDescent="0.35">
      <c r="A244" s="5" t="s">
        <v>108</v>
      </c>
      <c r="B244" s="9" t="s">
        <v>126</v>
      </c>
      <c r="C244" s="5" t="s">
        <v>113</v>
      </c>
      <c r="D244" s="9" t="s">
        <v>126</v>
      </c>
      <c r="E244" s="16">
        <v>0</v>
      </c>
      <c r="F244" s="24">
        <v>-23.417279999999998</v>
      </c>
      <c r="G244" s="53">
        <v>0</v>
      </c>
      <c r="H244" s="10">
        <v>-23.417279999999998</v>
      </c>
      <c r="I244" s="10">
        <v>-1.4588965439999999</v>
      </c>
      <c r="J244" s="10">
        <v>0</v>
      </c>
      <c r="K244" s="10">
        <v>0</v>
      </c>
      <c r="L244" s="10">
        <v>0</v>
      </c>
      <c r="M244" s="10">
        <v>-1.4588965439999999</v>
      </c>
      <c r="N244" s="11">
        <v>0</v>
      </c>
      <c r="O244" s="12">
        <v>2.5899999999999999E-2</v>
      </c>
      <c r="P244" s="11">
        <v>3.6400000000000002E-2</v>
      </c>
      <c r="Q244" s="35">
        <v>-21.958383456</v>
      </c>
      <c r="R244" s="12">
        <v>0.93770000000000009</v>
      </c>
      <c r="S244" s="10">
        <v>0</v>
      </c>
      <c r="T244" s="10">
        <v>0</v>
      </c>
      <c r="U244" s="22">
        <v>1</v>
      </c>
      <c r="V244" s="10">
        <v>0</v>
      </c>
      <c r="W244" s="10">
        <v>0</v>
      </c>
      <c r="X244" s="40">
        <v>0</v>
      </c>
      <c r="Y244" s="39">
        <v>0</v>
      </c>
      <c r="Z244" s="15">
        <v>6.2300000000000001E-2</v>
      </c>
      <c r="AA244" s="10">
        <v>0</v>
      </c>
      <c r="AB244" s="10">
        <v>341.6511099999999</v>
      </c>
      <c r="AC244" s="43">
        <v>-6.8541501299381122E-2</v>
      </c>
      <c r="AD244" s="43">
        <v>-3.9421154413551065E-3</v>
      </c>
      <c r="AE244" s="44">
        <v>0</v>
      </c>
      <c r="AF244" s="10">
        <v>0</v>
      </c>
      <c r="AG244" s="10">
        <v>5940.2826600000026</v>
      </c>
      <c r="AH244" s="12">
        <v>-3.9421154413551065E-3</v>
      </c>
      <c r="AI244" s="10">
        <v>0</v>
      </c>
      <c r="AJ244" s="10">
        <v>0</v>
      </c>
      <c r="AK244" s="5" t="s">
        <v>113</v>
      </c>
      <c r="AL244" s="5" t="s">
        <v>113</v>
      </c>
      <c r="AM244" s="4" t="s">
        <v>127</v>
      </c>
    </row>
    <row r="245" spans="1:39" x14ac:dyDescent="0.35">
      <c r="A245" s="5" t="s">
        <v>108</v>
      </c>
      <c r="B245" s="9" t="s">
        <v>129</v>
      </c>
      <c r="C245" s="5" t="s">
        <v>22</v>
      </c>
      <c r="D245" s="9" t="s">
        <v>129</v>
      </c>
      <c r="E245" s="16">
        <v>0.5537637011168357</v>
      </c>
      <c r="F245" s="24">
        <v>34.705199999999984</v>
      </c>
      <c r="G245" s="53">
        <v>0</v>
      </c>
      <c r="H245" s="10">
        <v>34.705199999999984</v>
      </c>
      <c r="I245" s="10">
        <v>21.380613959999994</v>
      </c>
      <c r="J245" s="10">
        <v>19.218479999999996</v>
      </c>
      <c r="K245" s="10">
        <v>0</v>
      </c>
      <c r="L245" s="10">
        <v>0</v>
      </c>
      <c r="M245" s="10">
        <v>2.1621339599999989</v>
      </c>
      <c r="N245" s="11">
        <v>0</v>
      </c>
      <c r="O245" s="12">
        <v>2.5899999999999999E-2</v>
      </c>
      <c r="P245" s="11">
        <v>3.6400000000000002E-2</v>
      </c>
      <c r="Q245" s="35">
        <v>13.324586039999989</v>
      </c>
      <c r="R245" s="12">
        <v>0.38393629888316433</v>
      </c>
      <c r="S245" s="10">
        <v>0</v>
      </c>
      <c r="T245" s="10">
        <v>0</v>
      </c>
      <c r="U245" s="22">
        <v>1</v>
      </c>
      <c r="V245" s="10">
        <v>0</v>
      </c>
      <c r="W245" s="10">
        <v>0</v>
      </c>
      <c r="X245" s="40">
        <v>0</v>
      </c>
      <c r="Y245" s="39">
        <v>0</v>
      </c>
      <c r="Z245" s="15">
        <v>0.61606370111683573</v>
      </c>
      <c r="AA245" s="10">
        <v>0</v>
      </c>
      <c r="AB245" s="10">
        <v>3079.4586999999997</v>
      </c>
      <c r="AC245" s="43">
        <v>1.1269902726735705E-2</v>
      </c>
      <c r="AD245" s="43">
        <v>5.8423482494686487E-3</v>
      </c>
      <c r="AE245" s="44">
        <v>0</v>
      </c>
      <c r="AF245" s="10">
        <v>0</v>
      </c>
      <c r="AG245" s="10">
        <v>5940.2826600000026</v>
      </c>
      <c r="AH245" s="12">
        <v>5.8423482494686487E-3</v>
      </c>
      <c r="AI245" s="10">
        <v>0</v>
      </c>
      <c r="AJ245" s="10">
        <v>0</v>
      </c>
      <c r="AK245" s="5" t="s">
        <v>22</v>
      </c>
      <c r="AL245" s="5" t="s">
        <v>22</v>
      </c>
      <c r="AM245" s="4" t="s">
        <v>127</v>
      </c>
    </row>
    <row r="246" spans="1:39" x14ac:dyDescent="0.35">
      <c r="A246" s="5" t="s">
        <v>108</v>
      </c>
      <c r="B246" s="9" t="s">
        <v>138</v>
      </c>
      <c r="C246" s="5" t="s">
        <v>29</v>
      </c>
      <c r="D246" s="9" t="s">
        <v>138</v>
      </c>
      <c r="E246" s="16">
        <v>0.63</v>
      </c>
      <c r="F246" s="24">
        <v>150.28</v>
      </c>
      <c r="G246" s="53">
        <v>0</v>
      </c>
      <c r="H246" s="10">
        <v>150.28</v>
      </c>
      <c r="I246" s="10">
        <v>104.038844</v>
      </c>
      <c r="J246" s="10">
        <v>94.676400000000001</v>
      </c>
      <c r="K246" s="10">
        <v>0</v>
      </c>
      <c r="L246" s="10">
        <v>0</v>
      </c>
      <c r="M246" s="10">
        <v>9.362444</v>
      </c>
      <c r="N246" s="11">
        <v>0</v>
      </c>
      <c r="O246" s="12">
        <v>2.5899999999999999E-2</v>
      </c>
      <c r="P246" s="11">
        <v>3.6400000000000002E-2</v>
      </c>
      <c r="Q246" s="35">
        <v>46.241156000000004</v>
      </c>
      <c r="R246" s="12">
        <v>0.30770000000000003</v>
      </c>
      <c r="S246" s="10">
        <v>0</v>
      </c>
      <c r="T246" s="10">
        <v>0</v>
      </c>
      <c r="U246" s="22">
        <v>1</v>
      </c>
      <c r="V246" s="10">
        <v>0</v>
      </c>
      <c r="W246" s="10">
        <v>0</v>
      </c>
      <c r="X246" s="40">
        <v>0</v>
      </c>
      <c r="Y246" s="39">
        <v>0</v>
      </c>
      <c r="Z246" s="15">
        <v>0.69230000000000003</v>
      </c>
      <c r="AA246" s="10">
        <v>0</v>
      </c>
      <c r="AB246" s="10">
        <v>1989.6092900000001</v>
      </c>
      <c r="AC246" s="43">
        <v>7.5532417724084908E-2</v>
      </c>
      <c r="AD246" s="43">
        <v>2.5298459450749426E-2</v>
      </c>
      <c r="AE246" s="44">
        <v>0</v>
      </c>
      <c r="AF246" s="10">
        <v>0</v>
      </c>
      <c r="AG246" s="10">
        <v>5940.2826600000026</v>
      </c>
      <c r="AH246" s="12">
        <v>2.5298459450749426E-2</v>
      </c>
      <c r="AI246" s="10">
        <v>0</v>
      </c>
      <c r="AJ246" s="10">
        <v>0</v>
      </c>
      <c r="AK246" s="5" t="s">
        <v>29</v>
      </c>
      <c r="AL246" s="5" t="s">
        <v>29</v>
      </c>
      <c r="AM246" s="4" t="s">
        <v>127</v>
      </c>
    </row>
    <row r="247" spans="1:39" x14ac:dyDescent="0.35">
      <c r="A247" s="5" t="s">
        <v>108</v>
      </c>
      <c r="B247" s="9" t="s">
        <v>31</v>
      </c>
      <c r="C247" s="5" t="s">
        <v>128</v>
      </c>
      <c r="D247" s="9" t="s">
        <v>32</v>
      </c>
      <c r="E247" s="16">
        <v>0.60214093705775484</v>
      </c>
      <c r="F247" s="24">
        <v>142.28535999999986</v>
      </c>
      <c r="G247" s="53">
        <v>44.933040000000013</v>
      </c>
      <c r="H247" s="10">
        <v>97.35231999999985</v>
      </c>
      <c r="I247" s="10">
        <v>109.60690945533875</v>
      </c>
      <c r="J247" s="10">
        <v>85.675839999999909</v>
      </c>
      <c r="K247" s="10">
        <v>8.8301886792452819</v>
      </c>
      <c r="L247" s="10">
        <v>4.0453083040935676</v>
      </c>
      <c r="M247" s="10">
        <v>11.055572471999987</v>
      </c>
      <c r="N247" s="11">
        <v>1.4999999999999999E-2</v>
      </c>
      <c r="O247" s="12">
        <v>1.7999999999999999E-2</v>
      </c>
      <c r="P247" s="11">
        <v>4.4699999999999997E-2</v>
      </c>
      <c r="Q247" s="35">
        <v>-12.254589455338902</v>
      </c>
      <c r="R247" s="12">
        <v>-0.12587876134168061</v>
      </c>
      <c r="S247" s="10">
        <v>27.056022810453587</v>
      </c>
      <c r="T247" s="10">
        <v>0.31579524414880111</v>
      </c>
      <c r="U247" s="22">
        <v>1</v>
      </c>
      <c r="V247" s="10">
        <v>15</v>
      </c>
      <c r="W247" s="10">
        <v>2.134280399999998</v>
      </c>
      <c r="X247" s="40">
        <v>180.56192585048632</v>
      </c>
      <c r="Y247" s="39">
        <v>12.037461723365755</v>
      </c>
      <c r="Z247" s="15">
        <v>0.67984093705775483</v>
      </c>
      <c r="AA247" s="10">
        <v>12.875496983338849</v>
      </c>
      <c r="AB247" s="10">
        <v>627.72225999999978</v>
      </c>
      <c r="AC247" s="43">
        <v>0.22666929160676874</v>
      </c>
      <c r="AD247" s="43">
        <v>3.2221438909327681E-2</v>
      </c>
      <c r="AE247" s="44">
        <v>1184.2105263157894</v>
      </c>
      <c r="AF247" s="10">
        <v>2861.097777777778</v>
      </c>
      <c r="AG247" s="10">
        <v>4415.8599000000004</v>
      </c>
      <c r="AH247" s="12">
        <v>3.2221438909327681E-2</v>
      </c>
      <c r="AI247" s="10">
        <v>8830.1886792452824</v>
      </c>
      <c r="AJ247" s="10">
        <v>4045.3083040935671</v>
      </c>
      <c r="AK247" s="5" t="s">
        <v>128</v>
      </c>
      <c r="AL247" s="5" t="s">
        <v>128</v>
      </c>
      <c r="AM247" s="4" t="s">
        <v>143</v>
      </c>
    </row>
    <row r="248" spans="1:39" x14ac:dyDescent="0.35">
      <c r="A248" s="5" t="s">
        <v>108</v>
      </c>
      <c r="B248" s="9" t="s">
        <v>49</v>
      </c>
      <c r="C248" s="5" t="s">
        <v>128</v>
      </c>
      <c r="D248" s="9" t="s">
        <v>49</v>
      </c>
      <c r="E248" s="16">
        <v>0.52721719265877143</v>
      </c>
      <c r="F248" s="24">
        <v>70.547319999999999</v>
      </c>
      <c r="G248" s="53">
        <v>3.46672</v>
      </c>
      <c r="H248" s="10">
        <v>67.080600000000004</v>
      </c>
      <c r="I248" s="10">
        <v>62.417121638081433</v>
      </c>
      <c r="J248" s="10">
        <v>37.193759999999997</v>
      </c>
      <c r="K248" s="10">
        <v>11.773584905660377</v>
      </c>
      <c r="L248" s="10">
        <v>4.0881473684210521</v>
      </c>
      <c r="M248" s="10">
        <v>9.3616293640000006</v>
      </c>
      <c r="N248" s="11">
        <v>7.0000000000000007E-2</v>
      </c>
      <c r="O248" s="12">
        <v>1.7999999999999999E-2</v>
      </c>
      <c r="P248" s="11">
        <v>4.4699999999999997E-2</v>
      </c>
      <c r="Q248" s="35">
        <v>4.6634783619185711</v>
      </c>
      <c r="R248" s="12">
        <v>6.9520522504547821E-2</v>
      </c>
      <c r="S248" s="10">
        <v>1.8277143861340162</v>
      </c>
      <c r="T248" s="10">
        <v>4.9140350051568228E-2</v>
      </c>
      <c r="U248" s="22">
        <v>1</v>
      </c>
      <c r="V248" s="10">
        <v>20</v>
      </c>
      <c r="W248" s="10">
        <v>4.9383124</v>
      </c>
      <c r="X248" s="40">
        <v>56.834546930471141</v>
      </c>
      <c r="Y248" s="39">
        <v>2.8417273465235571</v>
      </c>
      <c r="Z248" s="15">
        <v>0.65991719265877147</v>
      </c>
      <c r="AA248" s="10">
        <v>15.861732274081429</v>
      </c>
      <c r="AB248" s="10">
        <v>627.72225999999978</v>
      </c>
      <c r="AC248" s="43">
        <v>0.11238620086533178</v>
      </c>
      <c r="AD248" s="43">
        <v>1.5975896336747456E-2</v>
      </c>
      <c r="AE248" s="44">
        <v>1578.9473684210525</v>
      </c>
      <c r="AF248" s="10">
        <v>2509.1999999999994</v>
      </c>
      <c r="AG248" s="10">
        <v>4415.8599000000004</v>
      </c>
      <c r="AH248" s="12">
        <v>1.5975896336747456E-2</v>
      </c>
      <c r="AI248" s="10">
        <v>11773.584905660377</v>
      </c>
      <c r="AJ248" s="10">
        <v>4088.1473684210519</v>
      </c>
      <c r="AK248" s="5" t="s">
        <v>128</v>
      </c>
      <c r="AL248" s="5" t="s">
        <v>128</v>
      </c>
      <c r="AM248" s="4" t="s">
        <v>143</v>
      </c>
    </row>
    <row r="249" spans="1:39" x14ac:dyDescent="0.35">
      <c r="A249" s="5" t="s">
        <v>108</v>
      </c>
      <c r="B249" s="9" t="s">
        <v>19</v>
      </c>
      <c r="C249" s="5" t="s">
        <v>128</v>
      </c>
      <c r="D249" s="9" t="s">
        <v>19</v>
      </c>
      <c r="E249" s="16">
        <v>0.46127043468280127</v>
      </c>
      <c r="F249" s="24">
        <v>4.8789600000000002</v>
      </c>
      <c r="G249" s="53">
        <v>0</v>
      </c>
      <c r="H249" s="10">
        <v>4.8789600000000002</v>
      </c>
      <c r="I249" s="10">
        <v>3.2240574057040718</v>
      </c>
      <c r="J249" s="10">
        <v>2.2505200000000003</v>
      </c>
      <c r="K249" s="10">
        <v>0.58867924528301885</v>
      </c>
      <c r="L249" s="10">
        <v>7.8947368421052627E-2</v>
      </c>
      <c r="M249" s="10">
        <v>0.30591079199999999</v>
      </c>
      <c r="N249" s="11">
        <v>0</v>
      </c>
      <c r="O249" s="12">
        <v>1.7999999999999999E-2</v>
      </c>
      <c r="P249" s="11">
        <v>4.4699999999999997E-2</v>
      </c>
      <c r="Q249" s="35">
        <v>1.6549025942959283</v>
      </c>
      <c r="R249" s="12">
        <v>0.33919167082655488</v>
      </c>
      <c r="S249" s="10">
        <v>0</v>
      </c>
      <c r="T249" s="10">
        <v>0</v>
      </c>
      <c r="U249" s="22">
        <v>1</v>
      </c>
      <c r="V249" s="10">
        <v>1</v>
      </c>
      <c r="W249" s="10">
        <v>0</v>
      </c>
      <c r="X249" s="40">
        <v>1.4024898080840913</v>
      </c>
      <c r="Y249" s="39">
        <v>1.4024898080840913</v>
      </c>
      <c r="Z249" s="15">
        <v>0.52397043468280124</v>
      </c>
      <c r="AA249" s="10">
        <v>0.6676266137040715</v>
      </c>
      <c r="AB249" s="10">
        <v>627.72225999999978</v>
      </c>
      <c r="AC249" s="43">
        <v>7.7724820528110661E-3</v>
      </c>
      <c r="AD249" s="43">
        <v>1.1048720091867044E-3</v>
      </c>
      <c r="AE249" s="44">
        <v>78.94736842105263</v>
      </c>
      <c r="AF249" s="10">
        <v>0</v>
      </c>
      <c r="AG249" s="10">
        <v>4415.8599000000004</v>
      </c>
      <c r="AH249" s="12">
        <v>1.1048720091867044E-3</v>
      </c>
      <c r="AI249" s="10">
        <v>588.67924528301887</v>
      </c>
      <c r="AJ249" s="10">
        <v>78.94736842105263</v>
      </c>
      <c r="AK249" s="5" t="s">
        <v>128</v>
      </c>
      <c r="AL249" s="5" t="s">
        <v>128</v>
      </c>
      <c r="AM249" s="4" t="s">
        <v>143</v>
      </c>
    </row>
    <row r="250" spans="1:39" x14ac:dyDescent="0.35">
      <c r="A250" s="5" t="s">
        <v>108</v>
      </c>
      <c r="B250" s="9" t="s">
        <v>120</v>
      </c>
      <c r="C250" s="5" t="s">
        <v>128</v>
      </c>
      <c r="D250" s="9" t="s">
        <v>120</v>
      </c>
      <c r="E250" s="16">
        <v>0</v>
      </c>
      <c r="F250" s="24">
        <v>0</v>
      </c>
      <c r="G250" s="53">
        <v>0</v>
      </c>
      <c r="H250" s="10">
        <v>0</v>
      </c>
      <c r="I250" s="10">
        <v>1.6304532274081429</v>
      </c>
      <c r="J250" s="10">
        <v>0</v>
      </c>
      <c r="K250" s="10">
        <v>1.1773584905660377</v>
      </c>
      <c r="L250" s="10">
        <v>0.45309473684210527</v>
      </c>
      <c r="M250" s="10">
        <v>0</v>
      </c>
      <c r="N250" s="11">
        <v>0.08</v>
      </c>
      <c r="O250" s="12">
        <v>1.7999999999999999E-2</v>
      </c>
      <c r="P250" s="11">
        <v>4.4699999999999997E-2</v>
      </c>
      <c r="Q250" s="35">
        <v>-1.6304532274081429</v>
      </c>
      <c r="R250" s="12">
        <v>0</v>
      </c>
      <c r="S250" s="10">
        <v>0</v>
      </c>
      <c r="T250" s="10">
        <v>0</v>
      </c>
      <c r="U250" s="22">
        <v>1</v>
      </c>
      <c r="V250" s="10">
        <v>2</v>
      </c>
      <c r="W250" s="10">
        <v>0</v>
      </c>
      <c r="X250" s="40">
        <v>1.9018467600701541</v>
      </c>
      <c r="Y250" s="39">
        <v>0.95092338003507704</v>
      </c>
      <c r="Z250" s="15">
        <v>0.14269999999999999</v>
      </c>
      <c r="AA250" s="10">
        <v>1.6304532274081429</v>
      </c>
      <c r="AB250" s="10">
        <v>627.72225999999978</v>
      </c>
      <c r="AC250" s="43">
        <v>0</v>
      </c>
      <c r="AD250" s="43">
        <v>0</v>
      </c>
      <c r="AE250" s="44">
        <v>157.89473684210526</v>
      </c>
      <c r="AF250" s="10">
        <v>295.2</v>
      </c>
      <c r="AG250" s="10">
        <v>4415.8599000000004</v>
      </c>
      <c r="AH250" s="12">
        <v>0</v>
      </c>
      <c r="AI250" s="10">
        <v>1177.3584905660377</v>
      </c>
      <c r="AJ250" s="10">
        <v>453.09473684210525</v>
      </c>
      <c r="AK250" s="5" t="s">
        <v>128</v>
      </c>
      <c r="AL250" s="5" t="s">
        <v>128</v>
      </c>
      <c r="AM250" s="4" t="s">
        <v>143</v>
      </c>
    </row>
    <row r="251" spans="1:39" x14ac:dyDescent="0.35">
      <c r="A251" s="5" t="s">
        <v>108</v>
      </c>
      <c r="B251" s="9" t="s">
        <v>50</v>
      </c>
      <c r="C251" s="5" t="s">
        <v>128</v>
      </c>
      <c r="D251" s="9" t="s">
        <v>50</v>
      </c>
      <c r="E251" s="16">
        <v>0.51737065508322611</v>
      </c>
      <c r="F251" s="24">
        <v>22.192599999999999</v>
      </c>
      <c r="G251" s="53">
        <v>0</v>
      </c>
      <c r="H251" s="10">
        <v>22.192599999999999</v>
      </c>
      <c r="I251" s="10">
        <v>17.728689861112219</v>
      </c>
      <c r="J251" s="10">
        <v>11.481800000000003</v>
      </c>
      <c r="K251" s="10">
        <v>1.7660377358490567</v>
      </c>
      <c r="L251" s="10">
        <v>1.0920421052631579</v>
      </c>
      <c r="M251" s="10">
        <v>3.3888100199999998</v>
      </c>
      <c r="N251" s="11">
        <v>0.09</v>
      </c>
      <c r="O251" s="12">
        <v>1.7999999999999999E-2</v>
      </c>
      <c r="P251" s="11">
        <v>4.4699999999999997E-2</v>
      </c>
      <c r="Q251" s="35">
        <v>4.4639101388877798</v>
      </c>
      <c r="R251" s="12">
        <v>0.20114408131033679</v>
      </c>
      <c r="S251" s="10">
        <v>0</v>
      </c>
      <c r="T251" s="10">
        <v>0</v>
      </c>
      <c r="U251" s="22">
        <v>1</v>
      </c>
      <c r="V251" s="10">
        <v>3</v>
      </c>
      <c r="W251" s="10">
        <v>1.9973339999999997</v>
      </c>
      <c r="X251" s="40">
        <v>8.6627027427135257</v>
      </c>
      <c r="Y251" s="39">
        <v>2.8875675809045087</v>
      </c>
      <c r="Z251" s="15">
        <v>0.67007065508322605</v>
      </c>
      <c r="AA251" s="10">
        <v>2.8580798411122146</v>
      </c>
      <c r="AB251" s="10">
        <v>627.72225999999978</v>
      </c>
      <c r="AC251" s="43">
        <v>3.5354170807962118E-2</v>
      </c>
      <c r="AD251" s="43">
        <v>5.0256576301254477E-3</v>
      </c>
      <c r="AE251" s="44">
        <v>236.84210526315789</v>
      </c>
      <c r="AF251" s="10">
        <v>855.2</v>
      </c>
      <c r="AG251" s="10">
        <v>4415.8599000000004</v>
      </c>
      <c r="AH251" s="12">
        <v>5.0256576301254477E-3</v>
      </c>
      <c r="AI251" s="10">
        <v>1766.0377358490566</v>
      </c>
      <c r="AJ251" s="10">
        <v>1092.042105263158</v>
      </c>
      <c r="AK251" s="5" t="s">
        <v>128</v>
      </c>
      <c r="AL251" s="5" t="s">
        <v>128</v>
      </c>
      <c r="AM251" s="4" t="s">
        <v>143</v>
      </c>
    </row>
    <row r="252" spans="1:39" x14ac:dyDescent="0.35">
      <c r="A252" s="5" t="s">
        <v>108</v>
      </c>
      <c r="B252" s="9" t="s">
        <v>20</v>
      </c>
      <c r="C252" s="5" t="s">
        <v>128</v>
      </c>
      <c r="D252" s="9" t="s">
        <v>20</v>
      </c>
      <c r="E252" s="16">
        <v>0</v>
      </c>
      <c r="F252" s="24">
        <v>0</v>
      </c>
      <c r="G252" s="53">
        <v>0</v>
      </c>
      <c r="H252" s="10">
        <v>0</v>
      </c>
      <c r="I252" s="10">
        <v>0</v>
      </c>
      <c r="J252" s="10">
        <v>0</v>
      </c>
      <c r="K252" s="10">
        <v>0</v>
      </c>
      <c r="L252" s="10">
        <v>0</v>
      </c>
      <c r="M252" s="10">
        <v>0</v>
      </c>
      <c r="N252" s="11">
        <v>0</v>
      </c>
      <c r="O252" s="12">
        <v>1.7999999999999999E-2</v>
      </c>
      <c r="P252" s="11">
        <v>4.4699999999999997E-2</v>
      </c>
      <c r="Q252" s="35">
        <v>0</v>
      </c>
      <c r="R252" s="12">
        <v>0</v>
      </c>
      <c r="S252" s="10">
        <v>0</v>
      </c>
      <c r="T252" s="10">
        <v>0</v>
      </c>
      <c r="U252" s="22">
        <v>1</v>
      </c>
      <c r="V252" s="10">
        <v>0</v>
      </c>
      <c r="W252" s="10">
        <v>0</v>
      </c>
      <c r="X252" s="40">
        <v>0</v>
      </c>
      <c r="Y252" s="39">
        <v>0</v>
      </c>
      <c r="Z252" s="15">
        <v>6.2699999999999992E-2</v>
      </c>
      <c r="AA252" s="10">
        <v>0</v>
      </c>
      <c r="AB252" s="10">
        <v>627.72225999999978</v>
      </c>
      <c r="AC252" s="43">
        <v>0</v>
      </c>
      <c r="AD252" s="43">
        <v>0</v>
      </c>
      <c r="AE252" s="44">
        <v>0</v>
      </c>
      <c r="AF252" s="10">
        <v>0</v>
      </c>
      <c r="AG252" s="10">
        <v>4415.8599000000004</v>
      </c>
      <c r="AH252" s="12">
        <v>0</v>
      </c>
      <c r="AI252" s="10">
        <v>0</v>
      </c>
      <c r="AJ252" s="10">
        <v>0</v>
      </c>
      <c r="AK252" s="5" t="s">
        <v>128</v>
      </c>
      <c r="AL252" s="5" t="s">
        <v>128</v>
      </c>
      <c r="AM252" s="4" t="s">
        <v>143</v>
      </c>
    </row>
    <row r="253" spans="1:39" x14ac:dyDescent="0.35">
      <c r="A253" s="5" t="s">
        <v>108</v>
      </c>
      <c r="B253" s="9" t="s">
        <v>51</v>
      </c>
      <c r="C253" s="5" t="s">
        <v>128</v>
      </c>
      <c r="D253" s="9" t="s">
        <v>51</v>
      </c>
      <c r="E253" s="16">
        <v>0.50067734851112156</v>
      </c>
      <c r="F253" s="24">
        <v>94.692760000000021</v>
      </c>
      <c r="G253" s="53">
        <v>2.3407</v>
      </c>
      <c r="H253" s="10">
        <v>92.352060000000023</v>
      </c>
      <c r="I253" s="10">
        <v>80.311431257561082</v>
      </c>
      <c r="J253" s="10">
        <v>47.410519999999998</v>
      </c>
      <c r="K253" s="10">
        <v>8.8301886792452819</v>
      </c>
      <c r="L253" s="10">
        <v>8.6642105263157898</v>
      </c>
      <c r="M253" s="10">
        <v>15.406512052000004</v>
      </c>
      <c r="N253" s="11">
        <v>0.1</v>
      </c>
      <c r="O253" s="12">
        <v>1.7999999999999999E-2</v>
      </c>
      <c r="P253" s="11">
        <v>4.4699999999999997E-2</v>
      </c>
      <c r="Q253" s="35">
        <v>12.04062874243894</v>
      </c>
      <c r="R253" s="12">
        <v>0.13037747877458214</v>
      </c>
      <c r="S253" s="10">
        <v>1.1719354696599822</v>
      </c>
      <c r="T253" s="10">
        <v>2.4718890863461997E-2</v>
      </c>
      <c r="U253" s="22">
        <v>1</v>
      </c>
      <c r="V253" s="10">
        <v>15</v>
      </c>
      <c r="W253" s="10">
        <v>9.4692760000000025</v>
      </c>
      <c r="X253" s="40">
        <v>58.923839848063231</v>
      </c>
      <c r="Y253" s="39">
        <v>3.9282559898708822</v>
      </c>
      <c r="Z253" s="15">
        <v>0.66337734851112162</v>
      </c>
      <c r="AA253" s="10">
        <v>17.494399205561074</v>
      </c>
      <c r="AB253" s="10">
        <v>627.72225999999978</v>
      </c>
      <c r="AC253" s="43">
        <v>0.15085136537933203</v>
      </c>
      <c r="AD253" s="43">
        <v>2.1443787199861123E-2</v>
      </c>
      <c r="AE253" s="44">
        <v>1184.2105263157894</v>
      </c>
      <c r="AF253" s="10">
        <v>7480</v>
      </c>
      <c r="AG253" s="10">
        <v>4415.8599000000004</v>
      </c>
      <c r="AH253" s="12">
        <v>2.1443787199861123E-2</v>
      </c>
      <c r="AI253" s="10">
        <v>8830.1886792452824</v>
      </c>
      <c r="AJ253" s="10">
        <v>8664.21052631579</v>
      </c>
      <c r="AK253" s="5" t="s">
        <v>128</v>
      </c>
      <c r="AL253" s="5" t="s">
        <v>128</v>
      </c>
      <c r="AM253" s="4" t="s">
        <v>143</v>
      </c>
    </row>
    <row r="254" spans="1:39" x14ac:dyDescent="0.35">
      <c r="A254" s="5" t="s">
        <v>108</v>
      </c>
      <c r="B254" s="9" t="s">
        <v>31</v>
      </c>
      <c r="C254" s="5" t="s">
        <v>128</v>
      </c>
      <c r="D254" s="9" t="s">
        <v>52</v>
      </c>
      <c r="E254" s="16">
        <v>0.59698721822185474</v>
      </c>
      <c r="F254" s="24">
        <v>202.26747999999975</v>
      </c>
      <c r="G254" s="53">
        <v>84.38745999999999</v>
      </c>
      <c r="H254" s="10">
        <v>117.88001999999976</v>
      </c>
      <c r="I254" s="10">
        <v>177.48429394426026</v>
      </c>
      <c r="J254" s="10">
        <v>120.7511002219445</v>
      </c>
      <c r="K254" s="10">
        <v>31.2</v>
      </c>
      <c r="L254" s="10">
        <v>9.8170105263157872</v>
      </c>
      <c r="M254" s="10">
        <v>15.716183195999978</v>
      </c>
      <c r="N254" s="11">
        <v>1.4999999999999999E-2</v>
      </c>
      <c r="O254" s="12">
        <v>1.7999999999999999E-2</v>
      </c>
      <c r="P254" s="11">
        <v>4.4699999999999997E-2</v>
      </c>
      <c r="Q254" s="35">
        <v>-59.604273944260498</v>
      </c>
      <c r="R254" s="12">
        <v>-0.5056350850997533</v>
      </c>
      <c r="S254" s="10">
        <v>50.378234998208029</v>
      </c>
      <c r="T254" s="10">
        <v>0.41720725447313672</v>
      </c>
      <c r="U254" s="22">
        <v>1</v>
      </c>
      <c r="V254" s="10">
        <v>53</v>
      </c>
      <c r="W254" s="10">
        <v>3.0340121999999963</v>
      </c>
      <c r="X254" s="40">
        <v>385.48891267309108</v>
      </c>
      <c r="Y254" s="39">
        <v>7.2733757108130392</v>
      </c>
      <c r="Z254" s="15">
        <v>0.67468721822185473</v>
      </c>
      <c r="AA254" s="10">
        <v>41.017010526315786</v>
      </c>
      <c r="AB254" s="10">
        <v>627.72225999999978</v>
      </c>
      <c r="AC254" s="43">
        <v>0.32222448189108321</v>
      </c>
      <c r="AD254" s="43">
        <v>4.5804777456820975E-2</v>
      </c>
      <c r="AE254" s="44">
        <v>4184.2105263157891</v>
      </c>
      <c r="AF254" s="10">
        <v>5632.7999999999984</v>
      </c>
      <c r="AG254" s="10">
        <v>4415.8599000000004</v>
      </c>
      <c r="AH254" s="12">
        <v>4.5804777456820975E-2</v>
      </c>
      <c r="AI254" s="10">
        <v>31200</v>
      </c>
      <c r="AJ254" s="10">
        <v>9817.0105263157875</v>
      </c>
      <c r="AK254" s="5" t="s">
        <v>128</v>
      </c>
      <c r="AL254" s="5" t="s">
        <v>128</v>
      </c>
      <c r="AM254" s="4" t="s">
        <v>143</v>
      </c>
    </row>
    <row r="255" spans="1:39" x14ac:dyDescent="0.35">
      <c r="A255" s="5" t="s">
        <v>108</v>
      </c>
      <c r="B255" s="9" t="s">
        <v>21</v>
      </c>
      <c r="C255" s="5" t="s">
        <v>128</v>
      </c>
      <c r="D255" s="9" t="s">
        <v>21</v>
      </c>
      <c r="E255" s="16">
        <v>0.5127160523587978</v>
      </c>
      <c r="F255" s="24">
        <v>16.5932</v>
      </c>
      <c r="G255" s="53">
        <v>0</v>
      </c>
      <c r="H255" s="10">
        <v>16.5932</v>
      </c>
      <c r="I255" s="10">
        <v>11.183246867408146</v>
      </c>
      <c r="J255" s="10">
        <v>8.5076000000000036</v>
      </c>
      <c r="K255" s="10">
        <v>1.1773584905660377</v>
      </c>
      <c r="L255" s="10">
        <v>0.45789473684210524</v>
      </c>
      <c r="M255" s="10">
        <v>1.0403936399999998</v>
      </c>
      <c r="N255" s="11">
        <v>0</v>
      </c>
      <c r="O255" s="12">
        <v>1.7999999999999999E-2</v>
      </c>
      <c r="P255" s="11">
        <v>4.4699999999999997E-2</v>
      </c>
      <c r="Q255" s="35">
        <v>5.4099531325918537</v>
      </c>
      <c r="R255" s="12">
        <v>0.32603434735866826</v>
      </c>
      <c r="S255" s="10">
        <v>0</v>
      </c>
      <c r="T255" s="10">
        <v>0</v>
      </c>
      <c r="U255" s="22">
        <v>1</v>
      </c>
      <c r="V255" s="10">
        <v>2</v>
      </c>
      <c r="W255" s="10">
        <v>0</v>
      </c>
      <c r="X255" s="40">
        <v>3.8514249926142421</v>
      </c>
      <c r="Y255" s="39">
        <v>1.925712496307121</v>
      </c>
      <c r="Z255" s="15">
        <v>0.57541605235879778</v>
      </c>
      <c r="AA255" s="10">
        <v>1.6352532274081431</v>
      </c>
      <c r="AB255" s="10">
        <v>627.72225999999978</v>
      </c>
      <c r="AC255" s="43">
        <v>2.6433983717575996E-2</v>
      </c>
      <c r="AD255" s="43">
        <v>3.7576373290284862E-3</v>
      </c>
      <c r="AE255" s="44">
        <v>157.89473684210526</v>
      </c>
      <c r="AF255" s="10">
        <v>300</v>
      </c>
      <c r="AG255" s="10">
        <v>4415.8599000000004</v>
      </c>
      <c r="AH255" s="12">
        <v>3.7576373290284862E-3</v>
      </c>
      <c r="AI255" s="10">
        <v>1177.3584905660377</v>
      </c>
      <c r="AJ255" s="10">
        <v>457.89473684210526</v>
      </c>
      <c r="AK255" s="5" t="s">
        <v>128</v>
      </c>
      <c r="AL255" s="5" t="s">
        <v>128</v>
      </c>
      <c r="AM255" s="4" t="s">
        <v>143</v>
      </c>
    </row>
    <row r="256" spans="1:39" x14ac:dyDescent="0.35">
      <c r="A256" s="5" t="s">
        <v>108</v>
      </c>
      <c r="B256" s="9" t="s">
        <v>53</v>
      </c>
      <c r="C256" s="5" t="s">
        <v>128</v>
      </c>
      <c r="D256" s="9" t="s">
        <v>53</v>
      </c>
      <c r="E256" s="16">
        <v>0.58770366417644959</v>
      </c>
      <c r="F256" s="24">
        <v>56.220000000000006</v>
      </c>
      <c r="G256" s="53">
        <v>3.8330000000000002</v>
      </c>
      <c r="H256" s="10">
        <v>52.387000000000008</v>
      </c>
      <c r="I256" s="10">
        <v>44.162947227408139</v>
      </c>
      <c r="J256" s="10">
        <v>33.040700000000001</v>
      </c>
      <c r="K256" s="10">
        <v>1.1773584905660377</v>
      </c>
      <c r="L256" s="10">
        <v>0.79789473684210521</v>
      </c>
      <c r="M256" s="10">
        <v>9.1469940000000012</v>
      </c>
      <c r="N256" s="11">
        <v>0.1</v>
      </c>
      <c r="O256" s="12">
        <v>1.7999999999999999E-2</v>
      </c>
      <c r="P256" s="11">
        <v>4.4699999999999997E-2</v>
      </c>
      <c r="Q256" s="35">
        <v>8.2240527725918682</v>
      </c>
      <c r="R256" s="12">
        <v>0.15698651903319272</v>
      </c>
      <c r="S256" s="10">
        <v>2.2526681447883314</v>
      </c>
      <c r="T256" s="10">
        <v>6.8178584133760226E-2</v>
      </c>
      <c r="U256" s="22">
        <v>1</v>
      </c>
      <c r="V256" s="10">
        <v>2</v>
      </c>
      <c r="W256" s="10">
        <v>5.6220000000000008</v>
      </c>
      <c r="X256" s="40">
        <v>23.270586918848952</v>
      </c>
      <c r="Y256" s="39">
        <v>11.635293459424476</v>
      </c>
      <c r="Z256" s="15">
        <v>0.75040366417644955</v>
      </c>
      <c r="AA256" s="10">
        <v>1.9752532274081429</v>
      </c>
      <c r="AB256" s="10">
        <v>627.72225999999978</v>
      </c>
      <c r="AC256" s="43">
        <v>8.9561902743420352E-2</v>
      </c>
      <c r="AD256" s="43">
        <v>1.2731382170888166E-2</v>
      </c>
      <c r="AE256" s="44">
        <v>157.89473684210526</v>
      </c>
      <c r="AF256" s="10">
        <v>640</v>
      </c>
      <c r="AG256" s="10">
        <v>4415.8599000000004</v>
      </c>
      <c r="AH256" s="12">
        <v>1.2731382170888166E-2</v>
      </c>
      <c r="AI256" s="10">
        <v>1177.3584905660377</v>
      </c>
      <c r="AJ256" s="10">
        <v>797.8947368421052</v>
      </c>
      <c r="AK256" s="5" t="s">
        <v>128</v>
      </c>
      <c r="AL256" s="5" t="s">
        <v>128</v>
      </c>
      <c r="AM256" s="4" t="s">
        <v>143</v>
      </c>
    </row>
    <row r="257" spans="1:39" x14ac:dyDescent="0.35">
      <c r="A257" s="5" t="s">
        <v>108</v>
      </c>
      <c r="B257" s="9" t="s">
        <v>45</v>
      </c>
      <c r="C257" s="5" t="s">
        <v>22</v>
      </c>
      <c r="D257" s="9" t="s">
        <v>45</v>
      </c>
      <c r="E257" s="16">
        <v>0.4423346619427222</v>
      </c>
      <c r="F257" s="24">
        <v>325.15199999999999</v>
      </c>
      <c r="G257" s="53">
        <v>274.99695999999994</v>
      </c>
      <c r="H257" s="10">
        <v>50.155040000000042</v>
      </c>
      <c r="I257" s="10">
        <v>248.30766881249187</v>
      </c>
      <c r="J257" s="10">
        <v>143.82599999999999</v>
      </c>
      <c r="K257" s="10">
        <v>20.60377358490566</v>
      </c>
      <c r="L257" s="10">
        <v>40.730224827586206</v>
      </c>
      <c r="M257" s="10">
        <v>43.147670400000003</v>
      </c>
      <c r="N257" s="11">
        <v>7.0000000000000007E-2</v>
      </c>
      <c r="O257" s="12">
        <v>1.7999999999999999E-2</v>
      </c>
      <c r="P257" s="11">
        <v>4.4699999999999997E-2</v>
      </c>
      <c r="Q257" s="35">
        <v>-198.15262881249183</v>
      </c>
      <c r="R257" s="12">
        <v>-3.9508019296264476</v>
      </c>
      <c r="S257" s="10">
        <v>121.64068733687627</v>
      </c>
      <c r="T257" s="10">
        <v>0.84574894203326434</v>
      </c>
      <c r="U257" s="22">
        <v>1</v>
      </c>
      <c r="V257" s="10">
        <v>35</v>
      </c>
      <c r="W257" s="10">
        <v>22.760640000000002</v>
      </c>
      <c r="X257" s="40">
        <v>791.43150815552019</v>
      </c>
      <c r="Y257" s="39">
        <v>22.612328804443433</v>
      </c>
      <c r="Z257" s="15">
        <v>0.57503466194272224</v>
      </c>
      <c r="AA257" s="10">
        <v>61.333998412491866</v>
      </c>
      <c r="AB257" s="10">
        <v>2191.72136</v>
      </c>
      <c r="AC257" s="43">
        <v>0.14835462478679315</v>
      </c>
      <c r="AD257" s="43">
        <v>7.3632770822280827E-2</v>
      </c>
      <c r="AE257" s="44">
        <v>4310.3448275862065</v>
      </c>
      <c r="AF257" s="10">
        <v>36419.879999999997</v>
      </c>
      <c r="AG257" s="10">
        <v>4415.8599000000004</v>
      </c>
      <c r="AH257" s="12">
        <v>7.3632770822280827E-2</v>
      </c>
      <c r="AI257" s="10">
        <v>20603.773584905659</v>
      </c>
      <c r="AJ257" s="10">
        <v>40730.224827586208</v>
      </c>
      <c r="AK257" s="5" t="s">
        <v>22</v>
      </c>
      <c r="AL257" s="5" t="s">
        <v>22</v>
      </c>
      <c r="AM257" s="4" t="s">
        <v>143</v>
      </c>
    </row>
    <row r="258" spans="1:39" x14ac:dyDescent="0.35">
      <c r="A258" s="5" t="s">
        <v>108</v>
      </c>
      <c r="B258" s="9" t="s">
        <v>116</v>
      </c>
      <c r="C258" s="5" t="s">
        <v>113</v>
      </c>
      <c r="D258" s="9" t="s">
        <v>116</v>
      </c>
      <c r="E258" s="16">
        <v>0</v>
      </c>
      <c r="F258" s="24">
        <v>0</v>
      </c>
      <c r="G258" s="53">
        <v>0</v>
      </c>
      <c r="H258" s="10">
        <v>0</v>
      </c>
      <c r="I258" s="10">
        <v>0.70916117299386228</v>
      </c>
      <c r="J258" s="10">
        <v>0</v>
      </c>
      <c r="K258" s="10">
        <v>0.58867924528301885</v>
      </c>
      <c r="L258" s="10">
        <v>0.12048192771084337</v>
      </c>
      <c r="M258" s="10">
        <v>0</v>
      </c>
      <c r="N258" s="11">
        <v>0</v>
      </c>
      <c r="O258" s="12">
        <v>1.7999999999999999E-2</v>
      </c>
      <c r="P258" s="11">
        <v>4.4699999999999997E-2</v>
      </c>
      <c r="Q258" s="35">
        <v>-0.70916117299386228</v>
      </c>
      <c r="R258" s="12">
        <v>0</v>
      </c>
      <c r="S258" s="10">
        <v>0</v>
      </c>
      <c r="T258" s="10">
        <v>0</v>
      </c>
      <c r="U258" s="22">
        <v>1</v>
      </c>
      <c r="V258" s="10">
        <v>1</v>
      </c>
      <c r="W258" s="10">
        <v>0</v>
      </c>
      <c r="X258" s="40">
        <v>0.75659999252519183</v>
      </c>
      <c r="Y258" s="39">
        <v>0.75659999252519183</v>
      </c>
      <c r="Z258" s="15">
        <v>6.2699999999999992E-2</v>
      </c>
      <c r="AA258" s="10">
        <v>0.70916117299386228</v>
      </c>
      <c r="AB258" s="10">
        <v>411.03867999999994</v>
      </c>
      <c r="AC258" s="43">
        <v>0</v>
      </c>
      <c r="AD258" s="43">
        <v>0</v>
      </c>
      <c r="AE258" s="44">
        <v>120.48192771084338</v>
      </c>
      <c r="AF258" s="10">
        <v>0</v>
      </c>
      <c r="AG258" s="10">
        <v>4415.8599000000004</v>
      </c>
      <c r="AH258" s="12">
        <v>0</v>
      </c>
      <c r="AI258" s="10">
        <v>588.67924528301887</v>
      </c>
      <c r="AJ258" s="10">
        <v>120.48192771084338</v>
      </c>
      <c r="AK258" s="5" t="s">
        <v>113</v>
      </c>
      <c r="AL258" s="5" t="s">
        <v>113</v>
      </c>
      <c r="AM258" s="4" t="s">
        <v>143</v>
      </c>
    </row>
    <row r="259" spans="1:39" x14ac:dyDescent="0.35">
      <c r="A259" s="5" t="s">
        <v>108</v>
      </c>
      <c r="B259" s="9" t="s">
        <v>24</v>
      </c>
      <c r="C259" s="5" t="s">
        <v>22</v>
      </c>
      <c r="D259" s="9" t="s">
        <v>24</v>
      </c>
      <c r="E259" s="16">
        <v>0.58277241314020634</v>
      </c>
      <c r="F259" s="24">
        <v>169.00800000000001</v>
      </c>
      <c r="G259" s="53">
        <v>35.590000000000003</v>
      </c>
      <c r="H259" s="10">
        <v>133.41800000000001</v>
      </c>
      <c r="I259" s="10">
        <v>162.667339785705</v>
      </c>
      <c r="J259" s="10">
        <v>98.493200000000002</v>
      </c>
      <c r="K259" s="10">
        <v>23.547169811320753</v>
      </c>
      <c r="L259" s="10">
        <v>13.12936837438424</v>
      </c>
      <c r="M259" s="10">
        <v>27.497601600000003</v>
      </c>
      <c r="N259" s="11">
        <v>0.1</v>
      </c>
      <c r="O259" s="12">
        <v>1.7999999999999999E-2</v>
      </c>
      <c r="P259" s="11">
        <v>4.4699999999999997E-2</v>
      </c>
      <c r="Q259" s="35">
        <v>-29.24933978570499</v>
      </c>
      <c r="R259" s="12">
        <v>-0.21923083681141217</v>
      </c>
      <c r="S259" s="10">
        <v>20.740870183659947</v>
      </c>
      <c r="T259" s="10">
        <v>0.21058174760958062</v>
      </c>
      <c r="U259" s="22">
        <v>1</v>
      </c>
      <c r="V259" s="10">
        <v>40</v>
      </c>
      <c r="W259" s="10">
        <v>16.9008</v>
      </c>
      <c r="X259" s="40">
        <v>283.92418706862213</v>
      </c>
      <c r="Y259" s="39">
        <v>7.0981046767155531</v>
      </c>
      <c r="Z259" s="15">
        <v>0.7454724131402064</v>
      </c>
      <c r="AA259" s="10">
        <v>36.676538185704992</v>
      </c>
      <c r="AB259" s="10">
        <v>2191.72136</v>
      </c>
      <c r="AC259" s="43">
        <v>7.7111992009787231E-2</v>
      </c>
      <c r="AD259" s="43">
        <v>3.8272953360680664E-2</v>
      </c>
      <c r="AE259" s="44">
        <v>4926.1083743842364</v>
      </c>
      <c r="AF259" s="10">
        <v>8203.2600000000039</v>
      </c>
      <c r="AG259" s="10">
        <v>4415.8599000000004</v>
      </c>
      <c r="AH259" s="12">
        <v>3.8272953360680664E-2</v>
      </c>
      <c r="AI259" s="10">
        <v>23547.169811320753</v>
      </c>
      <c r="AJ259" s="10">
        <v>13129.368374384241</v>
      </c>
      <c r="AK259" s="5" t="s">
        <v>22</v>
      </c>
      <c r="AL259" s="5" t="s">
        <v>22</v>
      </c>
      <c r="AM259" s="4" t="s">
        <v>143</v>
      </c>
    </row>
    <row r="260" spans="1:39" x14ac:dyDescent="0.35">
      <c r="A260" s="5" t="s">
        <v>108</v>
      </c>
      <c r="B260" s="9" t="s">
        <v>23</v>
      </c>
      <c r="C260" s="5" t="s">
        <v>22</v>
      </c>
      <c r="D260" s="9" t="s">
        <v>23</v>
      </c>
      <c r="E260" s="16">
        <v>0.50352137992231849</v>
      </c>
      <c r="F260" s="24">
        <v>697.93378000000007</v>
      </c>
      <c r="G260" s="53">
        <v>72.51603999999999</v>
      </c>
      <c r="H260" s="10">
        <v>625.41774000000009</v>
      </c>
      <c r="I260" s="10">
        <v>508.42137221849174</v>
      </c>
      <c r="J260" s="10">
        <v>351.42457999999988</v>
      </c>
      <c r="K260" s="10">
        <v>20.60377358490566</v>
      </c>
      <c r="L260" s="10">
        <v>15.859854827586206</v>
      </c>
      <c r="M260" s="10">
        <v>120.533163806</v>
      </c>
      <c r="N260" s="11">
        <v>0.11</v>
      </c>
      <c r="O260" s="12">
        <v>1.7999999999999999E-2</v>
      </c>
      <c r="P260" s="11">
        <v>4.4699999999999997E-2</v>
      </c>
      <c r="Q260" s="35">
        <v>116.99636778150835</v>
      </c>
      <c r="R260" s="12">
        <v>0.18706915442070501</v>
      </c>
      <c r="S260" s="10">
        <v>36.513376527302036</v>
      </c>
      <c r="T260" s="10">
        <v>0.10390103198615774</v>
      </c>
      <c r="U260" s="22">
        <v>1</v>
      </c>
      <c r="V260" s="10">
        <v>35</v>
      </c>
      <c r="W260" s="10">
        <v>76.772715800000014</v>
      </c>
      <c r="X260" s="40">
        <v>336.58698151948778</v>
      </c>
      <c r="Y260" s="39">
        <v>9.6167709005567943</v>
      </c>
      <c r="Z260" s="15">
        <v>0.67622137992231846</v>
      </c>
      <c r="AA260" s="10">
        <v>36.463628412491865</v>
      </c>
      <c r="AB260" s="10">
        <v>2191.72136</v>
      </c>
      <c r="AC260" s="43">
        <v>0.31844092626810921</v>
      </c>
      <c r="AD260" s="43">
        <v>0.15805161300520426</v>
      </c>
      <c r="AE260" s="44">
        <v>4310.3448275862065</v>
      </c>
      <c r="AF260" s="10">
        <v>11549.51</v>
      </c>
      <c r="AG260" s="10">
        <v>4415.8599000000004</v>
      </c>
      <c r="AH260" s="12">
        <v>0.15805161300520426</v>
      </c>
      <c r="AI260" s="10">
        <v>20603.773584905659</v>
      </c>
      <c r="AJ260" s="10">
        <v>15859.854827586207</v>
      </c>
      <c r="AK260" s="5" t="s">
        <v>22</v>
      </c>
      <c r="AL260" s="5" t="s">
        <v>22</v>
      </c>
      <c r="AM260" s="4" t="s">
        <v>143</v>
      </c>
    </row>
    <row r="261" spans="1:39" x14ac:dyDescent="0.35">
      <c r="A261" s="5" t="s">
        <v>108</v>
      </c>
      <c r="B261" s="9" t="s">
        <v>25</v>
      </c>
      <c r="C261" s="5" t="s">
        <v>22</v>
      </c>
      <c r="D261" s="9" t="s">
        <v>25</v>
      </c>
      <c r="E261" s="16">
        <v>0.51886109938377234</v>
      </c>
      <c r="F261" s="24">
        <v>317.44438000000002</v>
      </c>
      <c r="G261" s="53">
        <v>68.848570000000009</v>
      </c>
      <c r="H261" s="10">
        <v>248.59581000000003</v>
      </c>
      <c r="I261" s="10">
        <v>225.86749032813776</v>
      </c>
      <c r="J261" s="10">
        <v>164.70954</v>
      </c>
      <c r="K261" s="10">
        <v>12.950943396226416</v>
      </c>
      <c r="L261" s="10">
        <v>7.66935960591133</v>
      </c>
      <c r="M261" s="10">
        <v>40.537647326000005</v>
      </c>
      <c r="N261" s="11">
        <v>6.5000000000000002E-2</v>
      </c>
      <c r="O261" s="12">
        <v>1.7999999999999999E-2</v>
      </c>
      <c r="P261" s="11">
        <v>4.4699999999999997E-2</v>
      </c>
      <c r="Q261" s="35">
        <v>22.728319671862266</v>
      </c>
      <c r="R261" s="12">
        <v>9.142680108672091E-2</v>
      </c>
      <c r="S261" s="10">
        <v>35.722844721200609</v>
      </c>
      <c r="T261" s="10">
        <v>0.21688388372161449</v>
      </c>
      <c r="U261" s="22">
        <v>1</v>
      </c>
      <c r="V261" s="10">
        <v>22</v>
      </c>
      <c r="W261" s="10">
        <v>20.633884700000003</v>
      </c>
      <c r="X261" s="40">
        <v>253.13816007843798</v>
      </c>
      <c r="Y261" s="39">
        <v>11.506280003565363</v>
      </c>
      <c r="Z261" s="15">
        <v>0.64656109938377238</v>
      </c>
      <c r="AA261" s="10">
        <v>20.620303002137746</v>
      </c>
      <c r="AB261" s="10">
        <v>2191.72136</v>
      </c>
      <c r="AC261" s="43">
        <v>0.14483792775556106</v>
      </c>
      <c r="AD261" s="43">
        <v>7.1887330483469375E-2</v>
      </c>
      <c r="AE261" s="44">
        <v>2709.3596059113302</v>
      </c>
      <c r="AF261" s="10">
        <v>4960</v>
      </c>
      <c r="AG261" s="10">
        <v>4415.8599000000004</v>
      </c>
      <c r="AH261" s="12">
        <v>7.1887330483469375E-2</v>
      </c>
      <c r="AI261" s="10">
        <v>12950.943396226416</v>
      </c>
      <c r="AJ261" s="10">
        <v>7669.3596059113297</v>
      </c>
      <c r="AK261" s="5" t="s">
        <v>22</v>
      </c>
      <c r="AL261" s="5" t="s">
        <v>22</v>
      </c>
      <c r="AM261" s="4" t="s">
        <v>143</v>
      </c>
    </row>
    <row r="262" spans="1:39" x14ac:dyDescent="0.35">
      <c r="A262" s="5" t="s">
        <v>108</v>
      </c>
      <c r="B262" s="9" t="s">
        <v>125</v>
      </c>
      <c r="C262" s="5" t="s">
        <v>22</v>
      </c>
      <c r="D262" s="9" t="s">
        <v>125</v>
      </c>
      <c r="E262" s="16">
        <v>0</v>
      </c>
      <c r="F262" s="24">
        <v>0</v>
      </c>
      <c r="G262" s="53">
        <v>0</v>
      </c>
      <c r="H262" s="10">
        <v>0</v>
      </c>
      <c r="I262" s="10">
        <v>13.677479319639371</v>
      </c>
      <c r="J262" s="10">
        <v>0</v>
      </c>
      <c r="K262" s="10">
        <v>8.8301886792452819</v>
      </c>
      <c r="L262" s="10">
        <v>4.847290640394089</v>
      </c>
      <c r="M262" s="10">
        <v>0</v>
      </c>
      <c r="N262" s="11">
        <v>0</v>
      </c>
      <c r="O262" s="12">
        <v>1.7999999999999999E-2</v>
      </c>
      <c r="P262" s="11">
        <v>4.4699999999999997E-2</v>
      </c>
      <c r="Q262" s="35">
        <v>-13.677479319639371</v>
      </c>
      <c r="R262" s="12">
        <v>0</v>
      </c>
      <c r="S262" s="10">
        <v>0</v>
      </c>
      <c r="T262" s="10">
        <v>0</v>
      </c>
      <c r="U262" s="22">
        <v>1</v>
      </c>
      <c r="V262" s="10">
        <v>15</v>
      </c>
      <c r="W262" s="10">
        <v>0</v>
      </c>
      <c r="X262" s="40">
        <v>14.59242432480462</v>
      </c>
      <c r="Y262" s="39">
        <v>0.97282828832030799</v>
      </c>
      <c r="Z262" s="15">
        <v>6.2699999999999992E-2</v>
      </c>
      <c r="AA262" s="10">
        <v>13.677479319639371</v>
      </c>
      <c r="AB262" s="10">
        <v>2191.72136</v>
      </c>
      <c r="AC262" s="43">
        <v>0</v>
      </c>
      <c r="AD262" s="43">
        <v>0</v>
      </c>
      <c r="AE262" s="44">
        <v>1847.2906403940885</v>
      </c>
      <c r="AF262" s="10">
        <v>3000</v>
      </c>
      <c r="AG262" s="10">
        <v>4415.8599000000004</v>
      </c>
      <c r="AH262" s="12">
        <v>0</v>
      </c>
      <c r="AI262" s="10">
        <v>8830.1886792452824</v>
      </c>
      <c r="AJ262" s="10">
        <v>4847.2906403940888</v>
      </c>
      <c r="AK262" s="5" t="s">
        <v>22</v>
      </c>
      <c r="AL262" s="5" t="s">
        <v>22</v>
      </c>
      <c r="AM262" s="4" t="s">
        <v>143</v>
      </c>
    </row>
    <row r="263" spans="1:39" x14ac:dyDescent="0.35">
      <c r="A263" s="5" t="s">
        <v>108</v>
      </c>
      <c r="B263" s="9" t="s">
        <v>26</v>
      </c>
      <c r="C263" s="5" t="s">
        <v>22</v>
      </c>
      <c r="D263" s="9" t="s">
        <v>26</v>
      </c>
      <c r="E263" s="16">
        <v>0.53511422356428917</v>
      </c>
      <c r="F263" s="24">
        <v>435.81199999999995</v>
      </c>
      <c r="G263" s="53">
        <v>10.21208</v>
      </c>
      <c r="H263" s="10">
        <v>425.59991999999994</v>
      </c>
      <c r="I263" s="10">
        <v>322.87349126606557</v>
      </c>
      <c r="J263" s="10">
        <v>233.20919999999998</v>
      </c>
      <c r="K263" s="10">
        <v>14.716981132075473</v>
      </c>
      <c r="L263" s="10">
        <v>8.398817733990148</v>
      </c>
      <c r="M263" s="10">
        <v>66.548492400000001</v>
      </c>
      <c r="N263" s="11">
        <v>0.09</v>
      </c>
      <c r="O263" s="12">
        <v>1.7999999999999999E-2</v>
      </c>
      <c r="P263" s="11">
        <v>4.4699999999999997E-2</v>
      </c>
      <c r="Q263" s="35">
        <v>102.72642873393437</v>
      </c>
      <c r="R263" s="12">
        <v>0.24136853393660032</v>
      </c>
      <c r="S263" s="10">
        <v>5.4646292601764062</v>
      </c>
      <c r="T263" s="10">
        <v>2.3432305673088398E-2</v>
      </c>
      <c r="U263" s="22">
        <v>1</v>
      </c>
      <c r="V263" s="10">
        <v>25</v>
      </c>
      <c r="W263" s="10">
        <v>39.223079999999996</v>
      </c>
      <c r="X263" s="40">
        <v>106.75655773487463</v>
      </c>
      <c r="Y263" s="39">
        <v>4.270262309394985</v>
      </c>
      <c r="Z263" s="15">
        <v>0.68781422356428923</v>
      </c>
      <c r="AA263" s="10">
        <v>23.115798866065621</v>
      </c>
      <c r="AB263" s="10">
        <v>2191.72136</v>
      </c>
      <c r="AC263" s="43">
        <v>0.19884461955510621</v>
      </c>
      <c r="AD263" s="43">
        <v>9.8692442665583649E-2</v>
      </c>
      <c r="AE263" s="44">
        <v>3078.8177339901476</v>
      </c>
      <c r="AF263" s="10">
        <v>5320</v>
      </c>
      <c r="AG263" s="10">
        <v>4415.8599000000004</v>
      </c>
      <c r="AH263" s="12">
        <v>9.8692442665583649E-2</v>
      </c>
      <c r="AI263" s="10">
        <v>14716.981132075472</v>
      </c>
      <c r="AJ263" s="10">
        <v>8398.8177339901486</v>
      </c>
      <c r="AK263" s="5" t="s">
        <v>22</v>
      </c>
      <c r="AL263" s="5" t="s">
        <v>22</v>
      </c>
      <c r="AM263" s="4" t="s">
        <v>143</v>
      </c>
    </row>
    <row r="264" spans="1:39" x14ac:dyDescent="0.35">
      <c r="A264" s="5" t="s">
        <v>108</v>
      </c>
      <c r="B264" s="9" t="s">
        <v>27</v>
      </c>
      <c r="C264" s="5" t="s">
        <v>22</v>
      </c>
      <c r="D264" s="9" t="s">
        <v>27</v>
      </c>
      <c r="E264" s="16">
        <v>0</v>
      </c>
      <c r="F264" s="24">
        <v>0</v>
      </c>
      <c r="G264" s="53">
        <v>0</v>
      </c>
      <c r="H264" s="10">
        <v>0</v>
      </c>
      <c r="I264" s="10">
        <v>8.9183195464262468</v>
      </c>
      <c r="J264" s="10">
        <v>0</v>
      </c>
      <c r="K264" s="10">
        <v>5.8867924528301883</v>
      </c>
      <c r="L264" s="10">
        <v>3.031527093596059</v>
      </c>
      <c r="M264" s="10">
        <v>0</v>
      </c>
      <c r="N264" s="11">
        <v>0.05</v>
      </c>
      <c r="O264" s="12">
        <v>1.7999999999999999E-2</v>
      </c>
      <c r="P264" s="11">
        <v>4.4699999999999997E-2</v>
      </c>
      <c r="Q264" s="35">
        <v>-8.9183195464262468</v>
      </c>
      <c r="R264" s="12">
        <v>0</v>
      </c>
      <c r="S264" s="10">
        <v>0</v>
      </c>
      <c r="T264" s="10">
        <v>0</v>
      </c>
      <c r="U264" s="22">
        <v>1</v>
      </c>
      <c r="V264" s="10">
        <v>10</v>
      </c>
      <c r="W264" s="10">
        <v>0</v>
      </c>
      <c r="X264" s="40">
        <v>10.051075787700041</v>
      </c>
      <c r="Y264" s="39">
        <v>1.0051075787700041</v>
      </c>
      <c r="Z264" s="15">
        <v>0.11269999999999999</v>
      </c>
      <c r="AA264" s="10">
        <v>8.9183195464262468</v>
      </c>
      <c r="AB264" s="10">
        <v>2191.72136</v>
      </c>
      <c r="AC264" s="43">
        <v>0</v>
      </c>
      <c r="AD264" s="43">
        <v>0</v>
      </c>
      <c r="AE264" s="44">
        <v>1231.5270935960591</v>
      </c>
      <c r="AF264" s="10">
        <v>1800</v>
      </c>
      <c r="AG264" s="10">
        <v>4415.8599000000004</v>
      </c>
      <c r="AH264" s="12">
        <v>0</v>
      </c>
      <c r="AI264" s="10">
        <v>5886.7924528301883</v>
      </c>
      <c r="AJ264" s="10">
        <v>3031.5270935960589</v>
      </c>
      <c r="AK264" s="5" t="s">
        <v>22</v>
      </c>
      <c r="AL264" s="5" t="s">
        <v>22</v>
      </c>
      <c r="AM264" s="4" t="s">
        <v>143</v>
      </c>
    </row>
    <row r="265" spans="1:39" x14ac:dyDescent="0.35">
      <c r="A265" s="5" t="s">
        <v>108</v>
      </c>
      <c r="B265" s="9" t="s">
        <v>28</v>
      </c>
      <c r="C265" s="5" t="s">
        <v>22</v>
      </c>
      <c r="D265" s="9" t="s">
        <v>28</v>
      </c>
      <c r="E265" s="16">
        <v>0.59181358474740287</v>
      </c>
      <c r="F265" s="24">
        <v>198.38719999999995</v>
      </c>
      <c r="G265" s="53">
        <v>74.361380000000011</v>
      </c>
      <c r="H265" s="10">
        <v>124.02581999999994</v>
      </c>
      <c r="I265" s="10">
        <v>160.09719662356716</v>
      </c>
      <c r="J265" s="10">
        <v>117.40823999999994</v>
      </c>
      <c r="K265" s="10">
        <v>10.596226415094339</v>
      </c>
      <c r="L265" s="10">
        <v>5.7667487684729055</v>
      </c>
      <c r="M265" s="10">
        <v>26.325981439999996</v>
      </c>
      <c r="N265" s="11">
        <v>7.0000000000000007E-2</v>
      </c>
      <c r="O265" s="12">
        <v>1.7999999999999999E-2</v>
      </c>
      <c r="P265" s="11">
        <v>4.4699999999999997E-2</v>
      </c>
      <c r="Q265" s="35">
        <v>-36.071376623567218</v>
      </c>
      <c r="R265" s="12">
        <v>-0.2908376386752955</v>
      </c>
      <c r="S265" s="10">
        <v>44.008074864563838</v>
      </c>
      <c r="T265" s="10">
        <v>0.37482952529195446</v>
      </c>
      <c r="U265" s="22">
        <v>1</v>
      </c>
      <c r="V265" s="10">
        <v>18</v>
      </c>
      <c r="W265" s="10">
        <v>13.887103999999997</v>
      </c>
      <c r="X265" s="40">
        <v>329.32424308610973</v>
      </c>
      <c r="Y265" s="39">
        <v>18.295791282561652</v>
      </c>
      <c r="Z265" s="15">
        <v>0.72451358474740291</v>
      </c>
      <c r="AA265" s="10">
        <v>16.362975183567244</v>
      </c>
      <c r="AB265" s="10">
        <v>2191.72136</v>
      </c>
      <c r="AC265" s="43">
        <v>9.0516615670524811E-2</v>
      </c>
      <c r="AD265" s="43">
        <v>4.4926062984923944E-2</v>
      </c>
      <c r="AE265" s="44">
        <v>2216.7487684729062</v>
      </c>
      <c r="AF265" s="10">
        <v>3550</v>
      </c>
      <c r="AG265" s="10">
        <v>4415.8599000000004</v>
      </c>
      <c r="AH265" s="12">
        <v>4.4926062984923944E-2</v>
      </c>
      <c r="AI265" s="10">
        <v>10596.226415094339</v>
      </c>
      <c r="AJ265" s="10">
        <v>5766.7487684729058</v>
      </c>
      <c r="AK265" s="5" t="s">
        <v>22</v>
      </c>
      <c r="AL265" s="5" t="s">
        <v>22</v>
      </c>
      <c r="AM265" s="4" t="s">
        <v>143</v>
      </c>
    </row>
    <row r="266" spans="1:39" x14ac:dyDescent="0.35">
      <c r="A266" s="5" t="s">
        <v>108</v>
      </c>
      <c r="B266" s="9" t="s">
        <v>135</v>
      </c>
      <c r="C266" s="5" t="s">
        <v>113</v>
      </c>
      <c r="D266" s="9" t="s">
        <v>115</v>
      </c>
      <c r="E266" s="16">
        <v>0.52883701751555257</v>
      </c>
      <c r="F266" s="24">
        <v>2.23116</v>
      </c>
      <c r="G266" s="53">
        <v>0</v>
      </c>
      <c r="H266" s="10">
        <v>2.23116</v>
      </c>
      <c r="I266" s="10">
        <v>2.7381360779877246</v>
      </c>
      <c r="J266" s="10">
        <v>1.1799200000000003</v>
      </c>
      <c r="K266" s="10">
        <v>1.1773584905660377</v>
      </c>
      <c r="L266" s="10">
        <v>0.24096385542168675</v>
      </c>
      <c r="M266" s="10">
        <v>0.13989373199999999</v>
      </c>
      <c r="N266" s="11">
        <v>0</v>
      </c>
      <c r="O266" s="12">
        <v>1.7999999999999999E-2</v>
      </c>
      <c r="P266" s="11">
        <v>4.4699999999999997E-2</v>
      </c>
      <c r="Q266" s="35">
        <v>-0.50697607798772459</v>
      </c>
      <c r="R266" s="12">
        <v>-0.22722533479791884</v>
      </c>
      <c r="S266" s="10">
        <v>0</v>
      </c>
      <c r="T266" s="10">
        <v>0</v>
      </c>
      <c r="U266" s="22">
        <v>1</v>
      </c>
      <c r="V266" s="10">
        <v>2</v>
      </c>
      <c r="W266" s="10">
        <v>0</v>
      </c>
      <c r="X266" s="40">
        <v>3.4723399838116991</v>
      </c>
      <c r="Y266" s="39">
        <v>1.7361699919058495</v>
      </c>
      <c r="Z266" s="15">
        <v>0.59153701751555254</v>
      </c>
      <c r="AA266" s="10">
        <v>1.4183223459877246</v>
      </c>
      <c r="AB266" s="10">
        <v>411.03867999999994</v>
      </c>
      <c r="AC266" s="43">
        <v>5.4281022895460848E-3</v>
      </c>
      <c r="AD266" s="43">
        <v>5.0526059488436215E-4</v>
      </c>
      <c r="AE266" s="44">
        <v>240.96385542168676</v>
      </c>
      <c r="AF266" s="10">
        <v>0</v>
      </c>
      <c r="AG266" s="10">
        <v>4415.8599000000004</v>
      </c>
      <c r="AH266" s="12">
        <v>5.0526059488436215E-4</v>
      </c>
      <c r="AI266" s="10">
        <v>1177.3584905660377</v>
      </c>
      <c r="AJ266" s="10">
        <v>240.96385542168676</v>
      </c>
      <c r="AK266" s="5" t="s">
        <v>113</v>
      </c>
      <c r="AL266" s="5" t="s">
        <v>113</v>
      </c>
      <c r="AM266" s="4" t="s">
        <v>143</v>
      </c>
    </row>
    <row r="267" spans="1:39" x14ac:dyDescent="0.35">
      <c r="A267" s="5" t="s">
        <v>108</v>
      </c>
      <c r="B267" s="9" t="s">
        <v>114</v>
      </c>
      <c r="C267" s="5" t="s">
        <v>113</v>
      </c>
      <c r="D267" s="9" t="s">
        <v>114</v>
      </c>
      <c r="E267" s="16">
        <v>0</v>
      </c>
      <c r="F267" s="24">
        <v>0</v>
      </c>
      <c r="G267" s="53">
        <v>0</v>
      </c>
      <c r="H267" s="10">
        <v>0</v>
      </c>
      <c r="I267" s="10">
        <v>0</v>
      </c>
      <c r="J267" s="10">
        <v>0</v>
      </c>
      <c r="K267" s="10">
        <v>0</v>
      </c>
      <c r="L267" s="10">
        <v>0</v>
      </c>
      <c r="M267" s="10">
        <v>0</v>
      </c>
      <c r="N267" s="11">
        <v>0</v>
      </c>
      <c r="O267" s="12">
        <v>1.7999999999999999E-2</v>
      </c>
      <c r="P267" s="11">
        <v>4.4699999999999997E-2</v>
      </c>
      <c r="Q267" s="35">
        <v>0</v>
      </c>
      <c r="R267" s="12">
        <v>0</v>
      </c>
      <c r="S267" s="10">
        <v>0</v>
      </c>
      <c r="T267" s="10">
        <v>0</v>
      </c>
      <c r="U267" s="22">
        <v>1</v>
      </c>
      <c r="V267" s="10">
        <v>0</v>
      </c>
      <c r="W267" s="10">
        <v>0</v>
      </c>
      <c r="X267" s="40">
        <v>0</v>
      </c>
      <c r="Y267" s="39">
        <v>0</v>
      </c>
      <c r="Z267" s="15">
        <v>6.2699999999999992E-2</v>
      </c>
      <c r="AA267" s="10">
        <v>0</v>
      </c>
      <c r="AB267" s="10">
        <v>411.03867999999994</v>
      </c>
      <c r="AC267" s="43">
        <v>0</v>
      </c>
      <c r="AD267" s="43">
        <v>0</v>
      </c>
      <c r="AE267" s="44">
        <v>0</v>
      </c>
      <c r="AF267" s="10">
        <v>0</v>
      </c>
      <c r="AG267" s="10">
        <v>4415.8599000000004</v>
      </c>
      <c r="AH267" s="12">
        <v>0</v>
      </c>
      <c r="AI267" s="10">
        <v>0</v>
      </c>
      <c r="AJ267" s="10">
        <v>0</v>
      </c>
      <c r="AK267" s="5" t="s">
        <v>113</v>
      </c>
      <c r="AL267" s="5" t="s">
        <v>113</v>
      </c>
      <c r="AM267" s="4" t="s">
        <v>143</v>
      </c>
    </row>
    <row r="268" spans="1:39" x14ac:dyDescent="0.35">
      <c r="A268" s="5" t="s">
        <v>108</v>
      </c>
      <c r="B268" s="9" t="s">
        <v>136</v>
      </c>
      <c r="C268" s="5" t="s">
        <v>113</v>
      </c>
      <c r="D268" s="9" t="s">
        <v>7</v>
      </c>
      <c r="E268" s="16">
        <v>0</v>
      </c>
      <c r="F268" s="24">
        <v>0</v>
      </c>
      <c r="G268" s="53">
        <v>0</v>
      </c>
      <c r="H268" s="10">
        <v>0</v>
      </c>
      <c r="I268" s="10">
        <v>0.9036056174383067</v>
      </c>
      <c r="J268" s="10">
        <v>0</v>
      </c>
      <c r="K268" s="10">
        <v>0.58867924528301885</v>
      </c>
      <c r="L268" s="10">
        <v>0.31492637215528785</v>
      </c>
      <c r="M268" s="10">
        <v>0</v>
      </c>
      <c r="N268" s="11">
        <v>0</v>
      </c>
      <c r="O268" s="12">
        <v>1.7999999999999999E-2</v>
      </c>
      <c r="P268" s="11">
        <v>4.4699999999999997E-2</v>
      </c>
      <c r="Q268" s="35">
        <v>-0.9036056174383067</v>
      </c>
      <c r="R268" s="12">
        <v>0</v>
      </c>
      <c r="S268" s="10">
        <v>0</v>
      </c>
      <c r="T268" s="10">
        <v>0</v>
      </c>
      <c r="U268" s="22">
        <v>1</v>
      </c>
      <c r="V268" s="10">
        <v>1</v>
      </c>
      <c r="W268" s="10">
        <v>0</v>
      </c>
      <c r="X268" s="40">
        <v>0.96405165628753509</v>
      </c>
      <c r="Y268" s="39">
        <v>0.96405165628753509</v>
      </c>
      <c r="Z268" s="15">
        <v>6.2699999999999992E-2</v>
      </c>
      <c r="AA268" s="10">
        <v>0.9036056174383067</v>
      </c>
      <c r="AB268" s="10">
        <v>411.03867999999994</v>
      </c>
      <c r="AC268" s="43">
        <v>0</v>
      </c>
      <c r="AD268" s="43">
        <v>0</v>
      </c>
      <c r="AE268" s="44">
        <v>120.48192771084338</v>
      </c>
      <c r="AF268" s="10">
        <v>194.44444444444446</v>
      </c>
      <c r="AG268" s="10">
        <v>4415.8599000000004</v>
      </c>
      <c r="AH268" s="12">
        <v>0</v>
      </c>
      <c r="AI268" s="10">
        <v>588.67924528301887</v>
      </c>
      <c r="AJ268" s="10">
        <v>314.92637215528782</v>
      </c>
      <c r="AK268" s="5" t="s">
        <v>113</v>
      </c>
      <c r="AL268" s="5" t="s">
        <v>113</v>
      </c>
      <c r="AM268" s="4" t="s">
        <v>143</v>
      </c>
    </row>
    <row r="269" spans="1:39" x14ac:dyDescent="0.35">
      <c r="A269" s="5" t="s">
        <v>108</v>
      </c>
      <c r="B269" s="9" t="s">
        <v>57</v>
      </c>
      <c r="C269" s="5" t="s">
        <v>113</v>
      </c>
      <c r="D269" s="9" t="s">
        <v>57</v>
      </c>
      <c r="E269" s="16">
        <v>0</v>
      </c>
      <c r="F269" s="24">
        <v>0</v>
      </c>
      <c r="G269" s="53">
        <v>0</v>
      </c>
      <c r="H269" s="10">
        <v>0</v>
      </c>
      <c r="I269" s="10">
        <v>0</v>
      </c>
      <c r="J269" s="10">
        <v>0</v>
      </c>
      <c r="K269" s="10">
        <v>0</v>
      </c>
      <c r="L269" s="10">
        <v>0</v>
      </c>
      <c r="M269" s="10">
        <v>0</v>
      </c>
      <c r="N269" s="11">
        <v>0</v>
      </c>
      <c r="O269" s="12">
        <v>1.7999999999999999E-2</v>
      </c>
      <c r="P269" s="11">
        <v>4.4699999999999997E-2</v>
      </c>
      <c r="Q269" s="35">
        <v>0</v>
      </c>
      <c r="R269" s="12">
        <v>0</v>
      </c>
      <c r="S269" s="10">
        <v>0</v>
      </c>
      <c r="T269" s="10">
        <v>0</v>
      </c>
      <c r="U269" s="22">
        <v>1</v>
      </c>
      <c r="V269" s="10">
        <v>0</v>
      </c>
      <c r="W269" s="10">
        <v>0</v>
      </c>
      <c r="X269" s="40">
        <v>0</v>
      </c>
      <c r="Y269" s="39">
        <v>0</v>
      </c>
      <c r="Z269" s="15">
        <v>6.2699999999999992E-2</v>
      </c>
      <c r="AA269" s="10">
        <v>0</v>
      </c>
      <c r="AB269" s="10">
        <v>411.03867999999994</v>
      </c>
      <c r="AC269" s="43">
        <v>0</v>
      </c>
      <c r="AD269" s="43">
        <v>0</v>
      </c>
      <c r="AE269" s="44">
        <v>0</v>
      </c>
      <c r="AF269" s="10">
        <v>0</v>
      </c>
      <c r="AG269" s="10">
        <v>4415.8599000000004</v>
      </c>
      <c r="AH269" s="12">
        <v>0</v>
      </c>
      <c r="AI269" s="10">
        <v>0</v>
      </c>
      <c r="AJ269" s="10">
        <v>0</v>
      </c>
      <c r="AK269" s="5" t="s">
        <v>113</v>
      </c>
      <c r="AL269" s="5" t="s">
        <v>113</v>
      </c>
      <c r="AM269" s="4" t="s">
        <v>143</v>
      </c>
    </row>
    <row r="270" spans="1:39" x14ac:dyDescent="0.35">
      <c r="A270" s="5" t="s">
        <v>108</v>
      </c>
      <c r="B270" s="9" t="s">
        <v>58</v>
      </c>
      <c r="C270" s="5" t="s">
        <v>113</v>
      </c>
      <c r="D270" s="9" t="s">
        <v>58</v>
      </c>
      <c r="E270" s="16">
        <v>0</v>
      </c>
      <c r="F270" s="24">
        <v>0</v>
      </c>
      <c r="G270" s="53">
        <v>0.89200000000000002</v>
      </c>
      <c r="H270" s="10">
        <v>-0.89200000000000002</v>
      </c>
      <c r="I270" s="10">
        <v>0.8181011729938622</v>
      </c>
      <c r="J270" s="10">
        <v>0</v>
      </c>
      <c r="K270" s="10">
        <v>0.58867924528301885</v>
      </c>
      <c r="L270" s="10">
        <v>0.22942192771084335</v>
      </c>
      <c r="M270" s="10">
        <v>0</v>
      </c>
      <c r="N270" s="11">
        <v>0</v>
      </c>
      <c r="O270" s="12">
        <v>1.7999999999999999E-2</v>
      </c>
      <c r="P270" s="11">
        <v>4.4699999999999997E-2</v>
      </c>
      <c r="Q270" s="35">
        <v>-1.7101011729938622</v>
      </c>
      <c r="R270" s="12">
        <v>1.9171537813832535</v>
      </c>
      <c r="S270" s="10">
        <v>0</v>
      </c>
      <c r="T270" s="10">
        <v>0</v>
      </c>
      <c r="U270" s="22">
        <v>1</v>
      </c>
      <c r="V270" s="10">
        <v>1</v>
      </c>
      <c r="W270" s="10">
        <v>0</v>
      </c>
      <c r="X270" s="40">
        <v>1.8244971439174886</v>
      </c>
      <c r="Y270" s="39">
        <v>1.8244971439174886</v>
      </c>
      <c r="Z270" s="15">
        <v>6.2699999999999992E-2</v>
      </c>
      <c r="AA270" s="10">
        <v>0.8181011729938622</v>
      </c>
      <c r="AB270" s="10">
        <v>411.03867999999994</v>
      </c>
      <c r="AC270" s="43">
        <v>0</v>
      </c>
      <c r="AD270" s="43">
        <v>0</v>
      </c>
      <c r="AE270" s="44">
        <v>120.48192771084338</v>
      </c>
      <c r="AF270" s="10">
        <v>108.94</v>
      </c>
      <c r="AG270" s="10">
        <v>4415.8599000000004</v>
      </c>
      <c r="AH270" s="12">
        <v>0</v>
      </c>
      <c r="AI270" s="10">
        <v>588.67924528301887</v>
      </c>
      <c r="AJ270" s="10">
        <v>229.42192771084336</v>
      </c>
      <c r="AK270" s="5" t="s">
        <v>113</v>
      </c>
      <c r="AL270" s="5" t="s">
        <v>113</v>
      </c>
      <c r="AM270" s="4" t="s">
        <v>143</v>
      </c>
    </row>
    <row r="271" spans="1:39" x14ac:dyDescent="0.35">
      <c r="A271" s="5" t="s">
        <v>108</v>
      </c>
      <c r="B271" s="9" t="s">
        <v>136</v>
      </c>
      <c r="C271" s="5" t="s">
        <v>113</v>
      </c>
      <c r="D271" s="9" t="s">
        <v>8</v>
      </c>
      <c r="E271" s="16">
        <v>0</v>
      </c>
      <c r="F271" s="24">
        <v>0</v>
      </c>
      <c r="G271" s="53">
        <v>10.891719999999999</v>
      </c>
      <c r="H271" s="10">
        <v>-10.891719999999999</v>
      </c>
      <c r="I271" s="10">
        <v>3.6366246919754488</v>
      </c>
      <c r="J271" s="10">
        <v>0</v>
      </c>
      <c r="K271" s="10">
        <v>2.3547169811320754</v>
      </c>
      <c r="L271" s="10">
        <v>1.2819077108433734</v>
      </c>
      <c r="M271" s="10">
        <v>0</v>
      </c>
      <c r="N271" s="11">
        <v>0</v>
      </c>
      <c r="O271" s="12">
        <v>1.7999999999999999E-2</v>
      </c>
      <c r="P271" s="11">
        <v>4.4699999999999997E-2</v>
      </c>
      <c r="Q271" s="35">
        <v>-14.528344691975448</v>
      </c>
      <c r="R271" s="12">
        <v>1.3338889258974203</v>
      </c>
      <c r="S271" s="10">
        <v>0</v>
      </c>
      <c r="T271" s="10">
        <v>0</v>
      </c>
      <c r="U271" s="22">
        <v>1</v>
      </c>
      <c r="V271" s="10">
        <v>4</v>
      </c>
      <c r="W271" s="10">
        <v>0</v>
      </c>
      <c r="X271" s="40">
        <v>15.500207715753172</v>
      </c>
      <c r="Y271" s="39">
        <v>3.875051928938293</v>
      </c>
      <c r="Z271" s="15">
        <v>6.2699999999999992E-2</v>
      </c>
      <c r="AA271" s="10">
        <v>3.6366246919754488</v>
      </c>
      <c r="AB271" s="10">
        <v>411.03867999999994</v>
      </c>
      <c r="AC271" s="43">
        <v>0</v>
      </c>
      <c r="AD271" s="43">
        <v>0</v>
      </c>
      <c r="AE271" s="44">
        <v>481.92771084337352</v>
      </c>
      <c r="AF271" s="10">
        <v>799.98</v>
      </c>
      <c r="AG271" s="10">
        <v>4415.8599000000004</v>
      </c>
      <c r="AH271" s="12">
        <v>0</v>
      </c>
      <c r="AI271" s="10">
        <v>2354.7169811320755</v>
      </c>
      <c r="AJ271" s="10">
        <v>1281.9077108433735</v>
      </c>
      <c r="AK271" s="5" t="s">
        <v>113</v>
      </c>
      <c r="AL271" s="5" t="s">
        <v>113</v>
      </c>
      <c r="AM271" s="4" t="s">
        <v>143</v>
      </c>
    </row>
    <row r="272" spans="1:39" x14ac:dyDescent="0.35">
      <c r="A272" s="5" t="s">
        <v>108</v>
      </c>
      <c r="B272" s="9" t="s">
        <v>9</v>
      </c>
      <c r="C272" s="5" t="s">
        <v>113</v>
      </c>
      <c r="D272" s="9" t="s">
        <v>9</v>
      </c>
      <c r="E272" s="16">
        <v>0.525361968645493</v>
      </c>
      <c r="F272" s="24">
        <v>8.2769600000000008</v>
      </c>
      <c r="G272" s="53">
        <v>0.75636000000000003</v>
      </c>
      <c r="H272" s="10">
        <v>7.5206000000000008</v>
      </c>
      <c r="I272" s="10">
        <v>12.564503148944759</v>
      </c>
      <c r="J272" s="10">
        <v>4.3483999999999998</v>
      </c>
      <c r="K272" s="10">
        <v>5.2981132075471695</v>
      </c>
      <c r="L272" s="10">
        <v>1.8196373493975906</v>
      </c>
      <c r="M272" s="10">
        <v>1.0983525920000001</v>
      </c>
      <c r="N272" s="11">
        <v>7.0000000000000007E-2</v>
      </c>
      <c r="O272" s="12">
        <v>1.7999999999999999E-2</v>
      </c>
      <c r="P272" s="11">
        <v>4.4699999999999997E-2</v>
      </c>
      <c r="Q272" s="35">
        <v>-5.0439031489447581</v>
      </c>
      <c r="R272" s="12">
        <v>-0.67067829015567337</v>
      </c>
      <c r="S272" s="10">
        <v>0.39736277860470509</v>
      </c>
      <c r="T272" s="10">
        <v>9.1381376737352846E-2</v>
      </c>
      <c r="U272" s="22">
        <v>1</v>
      </c>
      <c r="V272" s="10">
        <v>9</v>
      </c>
      <c r="W272" s="10">
        <v>0.5793872000000001</v>
      </c>
      <c r="X272" s="40">
        <v>23.027887613885255</v>
      </c>
      <c r="Y272" s="39">
        <v>2.5586541793205839</v>
      </c>
      <c r="Z272" s="15">
        <v>0.65806196864549305</v>
      </c>
      <c r="AA272" s="10">
        <v>7.1177505569447597</v>
      </c>
      <c r="AB272" s="10">
        <v>411.03867999999994</v>
      </c>
      <c r="AC272" s="43">
        <v>2.0136693704835763E-2</v>
      </c>
      <c r="AD272" s="43">
        <v>1.8743710596434457E-3</v>
      </c>
      <c r="AE272" s="44">
        <v>1084.3373493975905</v>
      </c>
      <c r="AF272" s="10">
        <v>735.30000000000007</v>
      </c>
      <c r="AG272" s="10">
        <v>4415.8599000000004</v>
      </c>
      <c r="AH272" s="12">
        <v>1.8743710596434457E-3</v>
      </c>
      <c r="AI272" s="10">
        <v>5298.1132075471696</v>
      </c>
      <c r="AJ272" s="10">
        <v>1819.6373493975907</v>
      </c>
      <c r="AK272" s="5" t="s">
        <v>113</v>
      </c>
      <c r="AL272" s="5" t="s">
        <v>113</v>
      </c>
      <c r="AM272" s="4" t="s">
        <v>143</v>
      </c>
    </row>
    <row r="273" spans="1:39" x14ac:dyDescent="0.35">
      <c r="A273" s="5" t="s">
        <v>108</v>
      </c>
      <c r="B273" s="9" t="s">
        <v>10</v>
      </c>
      <c r="C273" s="5" t="s">
        <v>113</v>
      </c>
      <c r="D273" s="9" t="s">
        <v>10</v>
      </c>
      <c r="E273" s="16">
        <v>0</v>
      </c>
      <c r="F273" s="24">
        <v>0</v>
      </c>
      <c r="G273" s="53">
        <v>1.0632000000000001</v>
      </c>
      <c r="H273" s="10">
        <v>-1.0632000000000001</v>
      </c>
      <c r="I273" s="10">
        <v>10.231261307047628</v>
      </c>
      <c r="J273" s="10">
        <v>0</v>
      </c>
      <c r="K273" s="10">
        <v>7.0641509433962266</v>
      </c>
      <c r="L273" s="10">
        <v>3.1671103636514015</v>
      </c>
      <c r="M273" s="10">
        <v>0</v>
      </c>
      <c r="N273" s="11">
        <v>0</v>
      </c>
      <c r="O273" s="12">
        <v>1.7999999999999999E-2</v>
      </c>
      <c r="P273" s="11">
        <v>4.4699999999999997E-2</v>
      </c>
      <c r="Q273" s="35">
        <v>-11.294461307047628</v>
      </c>
      <c r="R273" s="12">
        <v>10.623082493460897</v>
      </c>
      <c r="S273" s="10">
        <v>0</v>
      </c>
      <c r="T273" s="10">
        <v>0</v>
      </c>
      <c r="U273" s="22">
        <v>1</v>
      </c>
      <c r="V273" s="10">
        <v>12</v>
      </c>
      <c r="W273" s="10">
        <v>0</v>
      </c>
      <c r="X273" s="40">
        <v>12.049996060010272</v>
      </c>
      <c r="Y273" s="39">
        <v>1.0041663383341894</v>
      </c>
      <c r="Z273" s="15">
        <v>6.2699999999999992E-2</v>
      </c>
      <c r="AA273" s="10">
        <v>10.231261307047628</v>
      </c>
      <c r="AB273" s="10">
        <v>411.03867999999994</v>
      </c>
      <c r="AC273" s="43">
        <v>0</v>
      </c>
      <c r="AD273" s="43">
        <v>0</v>
      </c>
      <c r="AE273" s="44">
        <v>1445.7831325301206</v>
      </c>
      <c r="AF273" s="10">
        <v>1721.3272311212813</v>
      </c>
      <c r="AG273" s="10">
        <v>4415.8599000000004</v>
      </c>
      <c r="AH273" s="12">
        <v>0</v>
      </c>
      <c r="AI273" s="10">
        <v>7064.1509433962265</v>
      </c>
      <c r="AJ273" s="10">
        <v>3167.1103636514017</v>
      </c>
      <c r="AK273" s="5" t="s">
        <v>113</v>
      </c>
      <c r="AL273" s="5" t="s">
        <v>113</v>
      </c>
      <c r="AM273" s="4" t="s">
        <v>143</v>
      </c>
    </row>
    <row r="274" spans="1:39" x14ac:dyDescent="0.35">
      <c r="A274" s="5" t="s">
        <v>108</v>
      </c>
      <c r="B274" s="9" t="s">
        <v>12</v>
      </c>
      <c r="C274" s="5" t="s">
        <v>113</v>
      </c>
      <c r="D274" s="9" t="s">
        <v>12</v>
      </c>
      <c r="E274" s="16">
        <v>0.53064705166904391</v>
      </c>
      <c r="F274" s="24">
        <v>72.352800000000002</v>
      </c>
      <c r="G274" s="53">
        <v>0</v>
      </c>
      <c r="H274" s="10">
        <v>72.352800000000002</v>
      </c>
      <c r="I274" s="10">
        <v>58.428923327901792</v>
      </c>
      <c r="J274" s="10">
        <v>38.393799999999999</v>
      </c>
      <c r="K274" s="10">
        <v>9.4188679245283016</v>
      </c>
      <c r="L274" s="10">
        <v>3.9091508433734936</v>
      </c>
      <c r="M274" s="10">
        <v>6.7071045600000003</v>
      </c>
      <c r="N274" s="11">
        <v>0.03</v>
      </c>
      <c r="O274" s="12">
        <v>1.7999999999999999E-2</v>
      </c>
      <c r="P274" s="11">
        <v>4.4699999999999997E-2</v>
      </c>
      <c r="Q274" s="35">
        <v>13.92387667209821</v>
      </c>
      <c r="R274" s="12">
        <v>0.1924441994241855</v>
      </c>
      <c r="S274" s="10">
        <v>0</v>
      </c>
      <c r="T274" s="10">
        <v>0</v>
      </c>
      <c r="U274" s="22">
        <v>1</v>
      </c>
      <c r="V274" s="10">
        <v>16</v>
      </c>
      <c r="W274" s="10">
        <v>2.1705839999999998</v>
      </c>
      <c r="X274" s="40">
        <v>35.385409372106601</v>
      </c>
      <c r="Y274" s="39">
        <v>2.2115880857566625</v>
      </c>
      <c r="Z274" s="15">
        <v>0.62334705166904392</v>
      </c>
      <c r="AA274" s="10">
        <v>13.328018767901796</v>
      </c>
      <c r="AB274" s="10">
        <v>411.03867999999994</v>
      </c>
      <c r="AC274" s="43">
        <v>0.17602430992625806</v>
      </c>
      <c r="AD274" s="43">
        <v>1.6384758945817098E-2</v>
      </c>
      <c r="AE274" s="44">
        <v>1927.7108433734941</v>
      </c>
      <c r="AF274" s="10">
        <v>1981.4399999999996</v>
      </c>
      <c r="AG274" s="10">
        <v>4415.8599000000004</v>
      </c>
      <c r="AH274" s="12">
        <v>1.6384758945817098E-2</v>
      </c>
      <c r="AI274" s="10">
        <v>9418.867924528302</v>
      </c>
      <c r="AJ274" s="10">
        <v>3909.1508433734934</v>
      </c>
      <c r="AK274" s="5" t="s">
        <v>113</v>
      </c>
      <c r="AL274" s="5" t="s">
        <v>113</v>
      </c>
      <c r="AM274" s="4" t="s">
        <v>143</v>
      </c>
    </row>
    <row r="275" spans="1:39" x14ac:dyDescent="0.35">
      <c r="A275" s="5" t="s">
        <v>108</v>
      </c>
      <c r="B275" s="9" t="s">
        <v>59</v>
      </c>
      <c r="C275" s="5" t="s">
        <v>113</v>
      </c>
      <c r="D275" s="9" t="s">
        <v>59</v>
      </c>
      <c r="E275" s="16">
        <v>0.50137808261266392</v>
      </c>
      <c r="F275" s="24">
        <v>4.4264400000000004</v>
      </c>
      <c r="G275" s="53">
        <v>0</v>
      </c>
      <c r="H275" s="10">
        <v>4.4264400000000004</v>
      </c>
      <c r="I275" s="10">
        <v>2.4968577880000002</v>
      </c>
      <c r="J275" s="10">
        <v>2.2193200000000002</v>
      </c>
      <c r="K275" s="10">
        <v>0</v>
      </c>
      <c r="L275" s="10">
        <v>0</v>
      </c>
      <c r="M275" s="10">
        <v>0.27753778800000001</v>
      </c>
      <c r="N275" s="11">
        <v>0</v>
      </c>
      <c r="O275" s="12">
        <v>1.7999999999999999E-2</v>
      </c>
      <c r="P275" s="11">
        <v>4.4699999999999997E-2</v>
      </c>
      <c r="Q275" s="35">
        <v>1.9295822120000001</v>
      </c>
      <c r="R275" s="12">
        <v>0.4359219173873361</v>
      </c>
      <c r="S275" s="10">
        <v>0</v>
      </c>
      <c r="T275" s="10">
        <v>0</v>
      </c>
      <c r="U275" s="22">
        <v>1</v>
      </c>
      <c r="V275" s="10">
        <v>0</v>
      </c>
      <c r="W275" s="10">
        <v>0</v>
      </c>
      <c r="X275" s="40">
        <v>0</v>
      </c>
      <c r="Y275" s="39">
        <v>0</v>
      </c>
      <c r="Z275" s="15">
        <v>0.5640780826126639</v>
      </c>
      <c r="AA275" s="10">
        <v>0</v>
      </c>
      <c r="AB275" s="10">
        <v>411.03867999999994</v>
      </c>
      <c r="AC275" s="43">
        <v>1.0768913524148143E-2</v>
      </c>
      <c r="AD275" s="43">
        <v>1.0023959319905055E-3</v>
      </c>
      <c r="AE275" s="44">
        <v>0</v>
      </c>
      <c r="AF275" s="10">
        <v>0</v>
      </c>
      <c r="AG275" s="10">
        <v>4415.8599000000004</v>
      </c>
      <c r="AH275" s="12">
        <v>1.0023959319905055E-3</v>
      </c>
      <c r="AI275" s="10">
        <v>0</v>
      </c>
      <c r="AJ275" s="10">
        <v>0</v>
      </c>
      <c r="AK275" s="5" t="s">
        <v>113</v>
      </c>
      <c r="AL275" s="5" t="s">
        <v>113</v>
      </c>
      <c r="AM275" s="4" t="s">
        <v>143</v>
      </c>
    </row>
    <row r="276" spans="1:39" x14ac:dyDescent="0.35">
      <c r="A276" s="5" t="s">
        <v>108</v>
      </c>
      <c r="B276" s="9" t="s">
        <v>13</v>
      </c>
      <c r="C276" s="5" t="s">
        <v>113</v>
      </c>
      <c r="D276" s="9" t="s">
        <v>13</v>
      </c>
      <c r="E276" s="16">
        <v>0</v>
      </c>
      <c r="F276" s="24">
        <v>0</v>
      </c>
      <c r="G276" s="53">
        <v>0</v>
      </c>
      <c r="H276" s="10">
        <v>0</v>
      </c>
      <c r="I276" s="10">
        <v>3.954305864969311</v>
      </c>
      <c r="J276" s="10">
        <v>0</v>
      </c>
      <c r="K276" s="10">
        <v>2.9433962264150941</v>
      </c>
      <c r="L276" s="10">
        <v>1.0109096385542169</v>
      </c>
      <c r="M276" s="10">
        <v>0</v>
      </c>
      <c r="N276" s="11">
        <v>0</v>
      </c>
      <c r="O276" s="12">
        <v>1.7999999999999999E-2</v>
      </c>
      <c r="P276" s="11">
        <v>4.4699999999999997E-2</v>
      </c>
      <c r="Q276" s="35">
        <v>-3.954305864969311</v>
      </c>
      <c r="R276" s="12">
        <v>0</v>
      </c>
      <c r="S276" s="10">
        <v>0</v>
      </c>
      <c r="T276" s="10">
        <v>0</v>
      </c>
      <c r="U276" s="22">
        <v>1</v>
      </c>
      <c r="V276" s="10">
        <v>5</v>
      </c>
      <c r="W276" s="10">
        <v>0</v>
      </c>
      <c r="X276" s="40">
        <v>4.218826272238676</v>
      </c>
      <c r="Y276" s="39">
        <v>0.8437652544477352</v>
      </c>
      <c r="Z276" s="15">
        <v>6.2699999999999992E-2</v>
      </c>
      <c r="AA276" s="10">
        <v>3.954305864969311</v>
      </c>
      <c r="AB276" s="10">
        <v>411.03867999999994</v>
      </c>
      <c r="AC276" s="43">
        <v>0</v>
      </c>
      <c r="AD276" s="43">
        <v>0</v>
      </c>
      <c r="AE276" s="44">
        <v>602.40963855421694</v>
      </c>
      <c r="AF276" s="10">
        <v>408.5</v>
      </c>
      <c r="AG276" s="10">
        <v>4415.8599000000004</v>
      </c>
      <c r="AH276" s="12">
        <v>0</v>
      </c>
      <c r="AI276" s="10">
        <v>2943.3962264150941</v>
      </c>
      <c r="AJ276" s="10">
        <v>1010.9096385542169</v>
      </c>
      <c r="AK276" s="5" t="s">
        <v>113</v>
      </c>
      <c r="AL276" s="5" t="s">
        <v>113</v>
      </c>
      <c r="AM276" s="4" t="s">
        <v>143</v>
      </c>
    </row>
    <row r="277" spans="1:39" x14ac:dyDescent="0.35">
      <c r="A277" s="5" t="s">
        <v>108</v>
      </c>
      <c r="B277" s="9" t="s">
        <v>14</v>
      </c>
      <c r="C277" s="5" t="s">
        <v>113</v>
      </c>
      <c r="D277" s="9" t="s">
        <v>14</v>
      </c>
      <c r="E277" s="16">
        <v>0.51433570012306018</v>
      </c>
      <c r="F277" s="24">
        <v>84.023800000000008</v>
      </c>
      <c r="G277" s="53">
        <v>13.11782</v>
      </c>
      <c r="H277" s="10">
        <v>70.905980000000014</v>
      </c>
      <c r="I277" s="10">
        <v>60.87898232082722</v>
      </c>
      <c r="J277" s="10">
        <v>43.216439999999992</v>
      </c>
      <c r="K277" s="10">
        <v>6.4754716981132079</v>
      </c>
      <c r="L277" s="10">
        <v>3.3980643627140137</v>
      </c>
      <c r="M277" s="10">
        <v>7.7890062600000007</v>
      </c>
      <c r="N277" s="11">
        <v>0.03</v>
      </c>
      <c r="O277" s="12">
        <v>1.7999999999999999E-2</v>
      </c>
      <c r="P277" s="11">
        <v>4.4699999999999997E-2</v>
      </c>
      <c r="Q277" s="35">
        <v>10.026997679172794</v>
      </c>
      <c r="R277" s="12">
        <v>0.14141258155056585</v>
      </c>
      <c r="S277" s="10">
        <v>6.7469631337882809</v>
      </c>
      <c r="T277" s="10">
        <v>0.15612028972743436</v>
      </c>
      <c r="U277" s="22">
        <v>1</v>
      </c>
      <c r="V277" s="10">
        <v>11</v>
      </c>
      <c r="W277" s="10">
        <v>2.5207140000000003</v>
      </c>
      <c r="X277" s="40">
        <v>58.50749309295314</v>
      </c>
      <c r="Y277" s="39">
        <v>5.3188630084502853</v>
      </c>
      <c r="Z277" s="15">
        <v>0.60703570012306018</v>
      </c>
      <c r="AA277" s="10">
        <v>9.873536060827222</v>
      </c>
      <c r="AB277" s="10">
        <v>411.03867999999994</v>
      </c>
      <c r="AC277" s="43">
        <v>0.20441823139369761</v>
      </c>
      <c r="AD277" s="43">
        <v>1.9027732288336412E-2</v>
      </c>
      <c r="AE277" s="44">
        <v>1325.3012048192772</v>
      </c>
      <c r="AF277" s="10">
        <v>2072.7631578947367</v>
      </c>
      <c r="AG277" s="10">
        <v>4415.8599000000004</v>
      </c>
      <c r="AH277" s="12">
        <v>1.9027732288336412E-2</v>
      </c>
      <c r="AI277" s="10">
        <v>6475.4716981132078</v>
      </c>
      <c r="AJ277" s="10">
        <v>3398.0643627140139</v>
      </c>
      <c r="AK277" s="5" t="s">
        <v>113</v>
      </c>
      <c r="AL277" s="5" t="s">
        <v>113</v>
      </c>
      <c r="AM277" s="4" t="s">
        <v>143</v>
      </c>
    </row>
    <row r="278" spans="1:39" x14ac:dyDescent="0.35">
      <c r="A278" s="5" t="s">
        <v>108</v>
      </c>
      <c r="B278" s="9" t="s">
        <v>118</v>
      </c>
      <c r="C278" s="5" t="s">
        <v>113</v>
      </c>
      <c r="D278" s="9" t="s">
        <v>118</v>
      </c>
      <c r="E278" s="16">
        <v>0</v>
      </c>
      <c r="F278" s="24">
        <v>0</v>
      </c>
      <c r="G278" s="53">
        <v>0</v>
      </c>
      <c r="H278" s="10">
        <v>0</v>
      </c>
      <c r="I278" s="10">
        <v>0.70916117299386228</v>
      </c>
      <c r="J278" s="10">
        <v>0</v>
      </c>
      <c r="K278" s="10">
        <v>0.58867924528301885</v>
      </c>
      <c r="L278" s="10">
        <v>0.12048192771084337</v>
      </c>
      <c r="M278" s="10">
        <v>0</v>
      </c>
      <c r="N278" s="11">
        <v>0</v>
      </c>
      <c r="O278" s="12">
        <v>1.7999999999999999E-2</v>
      </c>
      <c r="P278" s="11">
        <v>4.4699999999999997E-2</v>
      </c>
      <c r="Q278" s="35">
        <v>-0.70916117299386228</v>
      </c>
      <c r="R278" s="12">
        <v>0</v>
      </c>
      <c r="S278" s="10">
        <v>0</v>
      </c>
      <c r="T278" s="10">
        <v>0</v>
      </c>
      <c r="U278" s="22">
        <v>1</v>
      </c>
      <c r="V278" s="10">
        <v>1</v>
      </c>
      <c r="W278" s="10">
        <v>0</v>
      </c>
      <c r="X278" s="40">
        <v>0.75659999252519183</v>
      </c>
      <c r="Y278" s="39">
        <v>0.75659999252519183</v>
      </c>
      <c r="Z278" s="15">
        <v>6.2699999999999992E-2</v>
      </c>
      <c r="AA278" s="10">
        <v>0.70916117299386228</v>
      </c>
      <c r="AB278" s="10">
        <v>411.03867999999994</v>
      </c>
      <c r="AC278" s="43">
        <v>0</v>
      </c>
      <c r="AD278" s="43">
        <v>0</v>
      </c>
      <c r="AE278" s="44">
        <v>120.48192771084338</v>
      </c>
      <c r="AF278" s="10">
        <v>0</v>
      </c>
      <c r="AG278" s="10">
        <v>4415.8599000000004</v>
      </c>
      <c r="AH278" s="12">
        <v>0</v>
      </c>
      <c r="AI278" s="10">
        <v>588.67924528301887</v>
      </c>
      <c r="AJ278" s="10">
        <v>120.48192771084338</v>
      </c>
      <c r="AK278" s="5" t="s">
        <v>113</v>
      </c>
      <c r="AL278" s="5" t="s">
        <v>113</v>
      </c>
      <c r="AM278" s="4" t="s">
        <v>143</v>
      </c>
    </row>
    <row r="279" spans="1:39" x14ac:dyDescent="0.35">
      <c r="A279" s="5" t="s">
        <v>108</v>
      </c>
      <c r="B279" s="9" t="s">
        <v>16</v>
      </c>
      <c r="C279" s="5" t="s">
        <v>113</v>
      </c>
      <c r="D279" s="9" t="s">
        <v>16</v>
      </c>
      <c r="E279" s="16">
        <v>0</v>
      </c>
      <c r="F279" s="24">
        <v>0</v>
      </c>
      <c r="G279" s="53">
        <v>0</v>
      </c>
      <c r="H279" s="10">
        <v>0</v>
      </c>
      <c r="I279" s="10">
        <v>4.2458058649693111</v>
      </c>
      <c r="J279" s="10">
        <v>0</v>
      </c>
      <c r="K279" s="10">
        <v>2.9433962264150941</v>
      </c>
      <c r="L279" s="10">
        <v>1.302409638554217</v>
      </c>
      <c r="M279" s="10">
        <v>0</v>
      </c>
      <c r="N279" s="11">
        <v>0</v>
      </c>
      <c r="O279" s="12">
        <v>1.7999999999999999E-2</v>
      </c>
      <c r="P279" s="11">
        <v>4.4699999999999997E-2</v>
      </c>
      <c r="Q279" s="35">
        <v>-4.2458058649693111</v>
      </c>
      <c r="R279" s="12">
        <v>0</v>
      </c>
      <c r="S279" s="10">
        <v>0</v>
      </c>
      <c r="T279" s="10">
        <v>0</v>
      </c>
      <c r="U279" s="22">
        <v>1</v>
      </c>
      <c r="V279" s="10">
        <v>5</v>
      </c>
      <c r="W279" s="10">
        <v>0</v>
      </c>
      <c r="X279" s="40">
        <v>4.5298259521703947</v>
      </c>
      <c r="Y279" s="39">
        <v>0.90596519043407897</v>
      </c>
      <c r="Z279" s="15">
        <v>6.2699999999999992E-2</v>
      </c>
      <c r="AA279" s="10">
        <v>4.2458058649693111</v>
      </c>
      <c r="AB279" s="10">
        <v>411.03867999999994</v>
      </c>
      <c r="AC279" s="43">
        <v>0</v>
      </c>
      <c r="AD279" s="43">
        <v>0</v>
      </c>
      <c r="AE279" s="44">
        <v>602.40963855421694</v>
      </c>
      <c r="AF279" s="10">
        <v>700</v>
      </c>
      <c r="AG279" s="10">
        <v>4415.8599000000004</v>
      </c>
      <c r="AH279" s="12">
        <v>0</v>
      </c>
      <c r="AI279" s="10">
        <v>2943.3962264150941</v>
      </c>
      <c r="AJ279" s="10">
        <v>1302.4096385542171</v>
      </c>
      <c r="AK279" s="5" t="s">
        <v>113</v>
      </c>
      <c r="AL279" s="5" t="s">
        <v>113</v>
      </c>
      <c r="AM279" s="4" t="s">
        <v>143</v>
      </c>
    </row>
    <row r="280" spans="1:39" x14ac:dyDescent="0.35">
      <c r="A280" s="5" t="s">
        <v>108</v>
      </c>
      <c r="B280" s="9" t="s">
        <v>17</v>
      </c>
      <c r="C280" s="5" t="s">
        <v>113</v>
      </c>
      <c r="D280" s="9" t="s">
        <v>17</v>
      </c>
      <c r="E280" s="16">
        <v>0</v>
      </c>
      <c r="F280" s="24">
        <v>0</v>
      </c>
      <c r="G280" s="53">
        <v>0</v>
      </c>
      <c r="H280" s="10">
        <v>0</v>
      </c>
      <c r="I280" s="10">
        <v>1.6683223459877246</v>
      </c>
      <c r="J280" s="10">
        <v>0</v>
      </c>
      <c r="K280" s="10">
        <v>1.1773584905660377</v>
      </c>
      <c r="L280" s="10">
        <v>0.49096385542168675</v>
      </c>
      <c r="M280" s="10">
        <v>0</v>
      </c>
      <c r="N280" s="11">
        <v>0</v>
      </c>
      <c r="O280" s="12">
        <v>1.7999999999999999E-2</v>
      </c>
      <c r="P280" s="11">
        <v>4.4699999999999997E-2</v>
      </c>
      <c r="Q280" s="35">
        <v>-1.6683223459877246</v>
      </c>
      <c r="R280" s="12">
        <v>0</v>
      </c>
      <c r="S280" s="10">
        <v>0</v>
      </c>
      <c r="T280" s="10">
        <v>0</v>
      </c>
      <c r="U280" s="22">
        <v>1</v>
      </c>
      <c r="V280" s="10">
        <v>2</v>
      </c>
      <c r="W280" s="10">
        <v>0</v>
      </c>
      <c r="X280" s="40">
        <v>1.7799235527448249</v>
      </c>
      <c r="Y280" s="39">
        <v>0.88996177637241247</v>
      </c>
      <c r="Z280" s="15">
        <v>6.2699999999999992E-2</v>
      </c>
      <c r="AA280" s="10">
        <v>1.6683223459877246</v>
      </c>
      <c r="AB280" s="10">
        <v>411.03867999999994</v>
      </c>
      <c r="AC280" s="43">
        <v>0</v>
      </c>
      <c r="AD280" s="43">
        <v>0</v>
      </c>
      <c r="AE280" s="44">
        <v>240.96385542168676</v>
      </c>
      <c r="AF280" s="10">
        <v>250</v>
      </c>
      <c r="AG280" s="10">
        <v>4415.8599000000004</v>
      </c>
      <c r="AH280" s="12">
        <v>0</v>
      </c>
      <c r="AI280" s="10">
        <v>1177.3584905660377</v>
      </c>
      <c r="AJ280" s="10">
        <v>490.96385542168673</v>
      </c>
      <c r="AK280" s="5" t="s">
        <v>113</v>
      </c>
      <c r="AL280" s="5" t="s">
        <v>113</v>
      </c>
      <c r="AM280" s="4" t="s">
        <v>143</v>
      </c>
    </row>
    <row r="281" spans="1:39" x14ac:dyDescent="0.35">
      <c r="A281" s="5" t="s">
        <v>108</v>
      </c>
      <c r="B281" s="9" t="s">
        <v>60</v>
      </c>
      <c r="C281" s="5" t="s">
        <v>113</v>
      </c>
      <c r="D281" s="9" t="s">
        <v>60</v>
      </c>
      <c r="E281" s="16">
        <v>0</v>
      </c>
      <c r="F281" s="24">
        <v>0</v>
      </c>
      <c r="G281" s="53">
        <v>0</v>
      </c>
      <c r="H281" s="10">
        <v>0</v>
      </c>
      <c r="I281" s="10">
        <v>0</v>
      </c>
      <c r="J281" s="10">
        <v>0</v>
      </c>
      <c r="K281" s="10">
        <v>0</v>
      </c>
      <c r="L281" s="10">
        <v>0</v>
      </c>
      <c r="M281" s="10">
        <v>0</v>
      </c>
      <c r="N281" s="11">
        <v>0</v>
      </c>
      <c r="O281" s="12">
        <v>1.7999999999999999E-2</v>
      </c>
      <c r="P281" s="11">
        <v>4.4699999999999997E-2</v>
      </c>
      <c r="Q281" s="35">
        <v>0</v>
      </c>
      <c r="R281" s="12">
        <v>0</v>
      </c>
      <c r="S281" s="10">
        <v>0</v>
      </c>
      <c r="T281" s="10">
        <v>0</v>
      </c>
      <c r="U281" s="22">
        <v>1</v>
      </c>
      <c r="V281" s="10">
        <v>0</v>
      </c>
      <c r="W281" s="10">
        <v>0</v>
      </c>
      <c r="X281" s="40">
        <v>0</v>
      </c>
      <c r="Y281" s="39">
        <v>0</v>
      </c>
      <c r="Z281" s="15">
        <v>6.2699999999999992E-2</v>
      </c>
      <c r="AA281" s="10">
        <v>0</v>
      </c>
      <c r="AB281" s="10">
        <v>411.03867999999994</v>
      </c>
      <c r="AC281" s="43">
        <v>0</v>
      </c>
      <c r="AD281" s="43">
        <v>0</v>
      </c>
      <c r="AE281" s="44">
        <v>0</v>
      </c>
      <c r="AF281" s="10">
        <v>0</v>
      </c>
      <c r="AG281" s="10">
        <v>4415.8599000000004</v>
      </c>
      <c r="AH281" s="12">
        <v>0</v>
      </c>
      <c r="AI281" s="10">
        <v>0</v>
      </c>
      <c r="AJ281" s="10">
        <v>0</v>
      </c>
      <c r="AK281" s="5" t="s">
        <v>113</v>
      </c>
      <c r="AL281" s="5" t="s">
        <v>113</v>
      </c>
      <c r="AM281" s="4" t="s">
        <v>143</v>
      </c>
    </row>
    <row r="282" spans="1:39" x14ac:dyDescent="0.35">
      <c r="A282" s="5" t="s">
        <v>108</v>
      </c>
      <c r="B282" s="9" t="s">
        <v>18</v>
      </c>
      <c r="C282" s="5" t="s">
        <v>113</v>
      </c>
      <c r="D282" s="9" t="s">
        <v>18</v>
      </c>
      <c r="E282" s="16">
        <v>0.51252716422715616</v>
      </c>
      <c r="F282" s="24">
        <v>17.394199999999998</v>
      </c>
      <c r="G282" s="53">
        <v>0</v>
      </c>
      <c r="H282" s="10">
        <v>17.394199999999998</v>
      </c>
      <c r="I282" s="10">
        <v>17.285222550957034</v>
      </c>
      <c r="J282" s="10">
        <v>8.9149999999999991</v>
      </c>
      <c r="K282" s="10">
        <v>4.120754716981132</v>
      </c>
      <c r="L282" s="10">
        <v>1.5933734939759039</v>
      </c>
      <c r="M282" s="10">
        <v>2.6560943399999997</v>
      </c>
      <c r="N282" s="11">
        <v>0.09</v>
      </c>
      <c r="O282" s="12">
        <v>1.7999999999999999E-2</v>
      </c>
      <c r="P282" s="11">
        <v>4.4699999999999997E-2</v>
      </c>
      <c r="Q282" s="35">
        <v>0.10897744904296403</v>
      </c>
      <c r="R282" s="12">
        <v>6.2651601708019937E-3</v>
      </c>
      <c r="S282" s="10">
        <v>0</v>
      </c>
      <c r="T282" s="10">
        <v>0</v>
      </c>
      <c r="U282" s="22">
        <v>1</v>
      </c>
      <c r="V282" s="10">
        <v>7</v>
      </c>
      <c r="W282" s="10">
        <v>1.5654779999999997</v>
      </c>
      <c r="X282" s="40">
        <v>17.068673441695516</v>
      </c>
      <c r="Y282" s="39">
        <v>2.4383819202422168</v>
      </c>
      <c r="Z282" s="15">
        <v>0.66522716422715611</v>
      </c>
      <c r="AA282" s="10">
        <v>5.7141282109570355</v>
      </c>
      <c r="AB282" s="10">
        <v>411.03867999999994</v>
      </c>
      <c r="AC282" s="43">
        <v>4.2317671903773148E-2</v>
      </c>
      <c r="AD282" s="43">
        <v>3.9390289533415669E-3</v>
      </c>
      <c r="AE282" s="44">
        <v>843.37349397590367</v>
      </c>
      <c r="AF282" s="10">
        <v>750</v>
      </c>
      <c r="AG282" s="10">
        <v>4415.8599000000004</v>
      </c>
      <c r="AH282" s="12">
        <v>3.9390289533415669E-3</v>
      </c>
      <c r="AI282" s="10">
        <v>4120.7547169811323</v>
      </c>
      <c r="AJ282" s="10">
        <v>1593.3734939759038</v>
      </c>
      <c r="AK282" s="5" t="s">
        <v>113</v>
      </c>
      <c r="AL282" s="5" t="s">
        <v>113</v>
      </c>
      <c r="AM282" s="4" t="s">
        <v>143</v>
      </c>
    </row>
    <row r="283" spans="1:39" x14ac:dyDescent="0.35">
      <c r="A283" s="5" t="s">
        <v>108</v>
      </c>
      <c r="B283" s="9" t="s">
        <v>61</v>
      </c>
      <c r="C283" s="5" t="s">
        <v>113</v>
      </c>
      <c r="D283" s="9" t="s">
        <v>61</v>
      </c>
      <c r="E283" s="16">
        <v>0</v>
      </c>
      <c r="F283" s="24">
        <v>0</v>
      </c>
      <c r="G283" s="53">
        <v>0</v>
      </c>
      <c r="H283" s="10">
        <v>0</v>
      </c>
      <c r="I283" s="10">
        <v>0</v>
      </c>
      <c r="J283" s="10">
        <v>0</v>
      </c>
      <c r="K283" s="10">
        <v>0</v>
      </c>
      <c r="L283" s="10">
        <v>0</v>
      </c>
      <c r="M283" s="10">
        <v>0</v>
      </c>
      <c r="N283" s="11">
        <v>0</v>
      </c>
      <c r="O283" s="12">
        <v>1.7999999999999999E-2</v>
      </c>
      <c r="P283" s="11">
        <v>4.4699999999999997E-2</v>
      </c>
      <c r="Q283" s="35">
        <v>0</v>
      </c>
      <c r="R283" s="12">
        <v>0</v>
      </c>
      <c r="S283" s="10">
        <v>0</v>
      </c>
      <c r="T283" s="10">
        <v>0</v>
      </c>
      <c r="U283" s="22">
        <v>1</v>
      </c>
      <c r="V283" s="10">
        <v>0</v>
      </c>
      <c r="W283" s="10">
        <v>0</v>
      </c>
      <c r="X283" s="40">
        <v>0</v>
      </c>
      <c r="Y283" s="39">
        <v>0</v>
      </c>
      <c r="Z283" s="15">
        <v>6.2699999999999992E-2</v>
      </c>
      <c r="AA283" s="10">
        <v>0</v>
      </c>
      <c r="AB283" s="10">
        <v>411.03867999999994</v>
      </c>
      <c r="AC283" s="43">
        <v>0</v>
      </c>
      <c r="AD283" s="43">
        <v>0</v>
      </c>
      <c r="AE283" s="44">
        <v>0</v>
      </c>
      <c r="AF283" s="10">
        <v>0</v>
      </c>
      <c r="AG283" s="10">
        <v>4415.8599000000004</v>
      </c>
      <c r="AH283" s="12">
        <v>0</v>
      </c>
      <c r="AI283" s="10">
        <v>0</v>
      </c>
      <c r="AJ283" s="10">
        <v>0</v>
      </c>
      <c r="AK283" s="5" t="s">
        <v>113</v>
      </c>
      <c r="AL283" s="5" t="s">
        <v>113</v>
      </c>
      <c r="AM283" s="4" t="s">
        <v>143</v>
      </c>
    </row>
    <row r="284" spans="1:39" x14ac:dyDescent="0.35">
      <c r="A284" s="5" t="s">
        <v>108</v>
      </c>
      <c r="B284" s="9" t="s">
        <v>135</v>
      </c>
      <c r="C284" s="5" t="s">
        <v>113</v>
      </c>
      <c r="D284" s="9" t="s">
        <v>117</v>
      </c>
      <c r="E284" s="16">
        <v>0.5517801445963233</v>
      </c>
      <c r="F284" s="24">
        <v>2.7829199999999998</v>
      </c>
      <c r="G284" s="53">
        <v>0</v>
      </c>
      <c r="H284" s="10">
        <v>2.7829199999999998</v>
      </c>
      <c r="I284" s="10">
        <v>1.710049084</v>
      </c>
      <c r="J284" s="10">
        <v>1.53556</v>
      </c>
      <c r="K284" s="10">
        <v>0</v>
      </c>
      <c r="L284" s="10">
        <v>0</v>
      </c>
      <c r="M284" s="10">
        <v>0.17448908399999996</v>
      </c>
      <c r="N284" s="11">
        <v>0</v>
      </c>
      <c r="O284" s="12">
        <v>1.7999999999999999E-2</v>
      </c>
      <c r="P284" s="11">
        <v>4.4699999999999997E-2</v>
      </c>
      <c r="Q284" s="35">
        <v>1.0728709159999998</v>
      </c>
      <c r="R284" s="12">
        <v>0.38551985540367667</v>
      </c>
      <c r="S284" s="10">
        <v>0</v>
      </c>
      <c r="T284" s="10">
        <v>0</v>
      </c>
      <c r="U284" s="22">
        <v>1</v>
      </c>
      <c r="V284" s="10">
        <v>0</v>
      </c>
      <c r="W284" s="10">
        <v>0</v>
      </c>
      <c r="X284" s="40">
        <v>0</v>
      </c>
      <c r="Y284" s="39">
        <v>0</v>
      </c>
      <c r="Z284" s="15">
        <v>0.61448014459632327</v>
      </c>
      <c r="AA284" s="10">
        <v>0</v>
      </c>
      <c r="AB284" s="10">
        <v>411.03867999999994</v>
      </c>
      <c r="AC284" s="43">
        <v>6.7704577097221124E-3</v>
      </c>
      <c r="AD284" s="43">
        <v>6.3021021115275866E-4</v>
      </c>
      <c r="AE284" s="44">
        <v>0</v>
      </c>
      <c r="AF284" s="10">
        <v>0</v>
      </c>
      <c r="AG284" s="10">
        <v>4415.8599000000004</v>
      </c>
      <c r="AH284" s="12">
        <v>6.3021021115275866E-4</v>
      </c>
      <c r="AI284" s="10">
        <v>0</v>
      </c>
      <c r="AJ284" s="10">
        <v>0</v>
      </c>
      <c r="AK284" s="5" t="s">
        <v>113</v>
      </c>
      <c r="AL284" s="5" t="s">
        <v>113</v>
      </c>
      <c r="AM284" s="4" t="s">
        <v>143</v>
      </c>
    </row>
    <row r="285" spans="1:39" x14ac:dyDescent="0.35">
      <c r="A285" s="5" t="s">
        <v>108</v>
      </c>
      <c r="B285" s="9" t="s">
        <v>65</v>
      </c>
      <c r="C285" s="5" t="s">
        <v>113</v>
      </c>
      <c r="D285" s="9" t="s">
        <v>65</v>
      </c>
      <c r="E285" s="16">
        <v>0.63172944031515599</v>
      </c>
      <c r="F285" s="24">
        <v>219.55039999999991</v>
      </c>
      <c r="G285" s="53">
        <v>1.2363999999999999</v>
      </c>
      <c r="H285" s="10">
        <v>218.31399999999991</v>
      </c>
      <c r="I285" s="10">
        <v>157.46226139296857</v>
      </c>
      <c r="J285" s="10">
        <v>138.69645131296858</v>
      </c>
      <c r="K285" s="10">
        <v>5</v>
      </c>
      <c r="L285" s="10">
        <v>0</v>
      </c>
      <c r="M285" s="10">
        <v>13.765810079999993</v>
      </c>
      <c r="N285" s="11">
        <v>0</v>
      </c>
      <c r="O285" s="12">
        <v>1.7999999999999999E-2</v>
      </c>
      <c r="P285" s="11">
        <v>4.4699999999999997E-2</v>
      </c>
      <c r="Q285" s="35">
        <v>60.851738607031336</v>
      </c>
      <c r="R285" s="12">
        <v>0.27873493503408558</v>
      </c>
      <c r="S285" s="10">
        <v>0.78107028000565881</v>
      </c>
      <c r="T285" s="10">
        <v>5.6315087560760554E-3</v>
      </c>
      <c r="U285" s="22">
        <v>1</v>
      </c>
      <c r="V285" s="10">
        <v>0</v>
      </c>
      <c r="W285" s="10">
        <v>0</v>
      </c>
      <c r="X285" s="40">
        <v>20.409034189785917</v>
      </c>
      <c r="Y285" s="39">
        <v>20.409034189785917</v>
      </c>
      <c r="Z285" s="15">
        <v>0.69442944031515597</v>
      </c>
      <c r="AA285" s="10">
        <v>5</v>
      </c>
      <c r="AB285" s="10">
        <v>411.03867999999994</v>
      </c>
      <c r="AC285" s="43">
        <v>0.53413561954801902</v>
      </c>
      <c r="AD285" s="43">
        <v>4.9718606335314192E-2</v>
      </c>
      <c r="AE285" s="44">
        <v>0</v>
      </c>
      <c r="AF285" s="10">
        <v>0</v>
      </c>
      <c r="AG285" s="10">
        <v>4415.8599000000004</v>
      </c>
      <c r="AH285" s="12">
        <v>4.9718606335314192E-2</v>
      </c>
      <c r="AI285" s="10">
        <v>0</v>
      </c>
      <c r="AJ285" s="10">
        <v>0</v>
      </c>
      <c r="AK285" s="5" t="s">
        <v>113</v>
      </c>
      <c r="AL285" s="5" t="s">
        <v>113</v>
      </c>
      <c r="AM285" s="4" t="s">
        <v>143</v>
      </c>
    </row>
    <row r="286" spans="1:39" x14ac:dyDescent="0.35">
      <c r="A286" s="5" t="s">
        <v>108</v>
      </c>
      <c r="B286" s="9" t="s">
        <v>5</v>
      </c>
      <c r="C286" s="5" t="s">
        <v>29</v>
      </c>
      <c r="D286" s="9" t="s">
        <v>5</v>
      </c>
      <c r="E286" s="16">
        <v>0.56543540669856462</v>
      </c>
      <c r="F286" s="24">
        <v>104.5</v>
      </c>
      <c r="G286" s="53">
        <v>28.603200000000001</v>
      </c>
      <c r="H286" s="10">
        <v>75.896799999999999</v>
      </c>
      <c r="I286" s="10">
        <v>94.816379997611648</v>
      </c>
      <c r="J286" s="10">
        <v>59.088000000000001</v>
      </c>
      <c r="K286" s="10">
        <v>15.305660377358491</v>
      </c>
      <c r="L286" s="10">
        <v>8.6455696202531662</v>
      </c>
      <c r="M286" s="10">
        <v>11.777149999999999</v>
      </c>
      <c r="N286" s="11">
        <v>0.05</v>
      </c>
      <c r="O286" s="12">
        <v>1.7999999999999999E-2</v>
      </c>
      <c r="P286" s="11">
        <v>4.4699999999999997E-2</v>
      </c>
      <c r="Q286" s="35">
        <v>-18.919579997611649</v>
      </c>
      <c r="R286" s="12">
        <v>-0.24928033853353038</v>
      </c>
      <c r="S286" s="10">
        <v>16.173262024880383</v>
      </c>
      <c r="T286" s="10">
        <v>0.27371483253588519</v>
      </c>
      <c r="U286" s="22">
        <v>1</v>
      </c>
      <c r="V286" s="10">
        <v>26</v>
      </c>
      <c r="W286" s="10">
        <v>5.2250000000000005</v>
      </c>
      <c r="X286" s="40">
        <v>163.28117814559658</v>
      </c>
      <c r="Y286" s="39">
        <v>6.2800453132921765</v>
      </c>
      <c r="Z286" s="15">
        <v>0.67813540669856465</v>
      </c>
      <c r="AA286" s="10">
        <v>23.951229997611655</v>
      </c>
      <c r="AB286" s="10">
        <v>1185.3776000000005</v>
      </c>
      <c r="AC286" s="43">
        <v>8.8157562619708654E-2</v>
      </c>
      <c r="AD286" s="43">
        <v>2.3664700050832679E-2</v>
      </c>
      <c r="AE286" s="44">
        <v>1645.5696202531647</v>
      </c>
      <c r="AF286" s="10">
        <v>7000</v>
      </c>
      <c r="AG286" s="10">
        <v>4415.8599000000004</v>
      </c>
      <c r="AH286" s="12">
        <v>2.3664700050832679E-2</v>
      </c>
      <c r="AI286" s="10">
        <v>15305.66037735849</v>
      </c>
      <c r="AJ286" s="10">
        <v>8645.5696202531653</v>
      </c>
      <c r="AK286" s="5" t="s">
        <v>29</v>
      </c>
      <c r="AL286" s="5" t="s">
        <v>29</v>
      </c>
      <c r="AM286" s="4" t="s">
        <v>143</v>
      </c>
    </row>
    <row r="287" spans="1:39" x14ac:dyDescent="0.35">
      <c r="A287" s="5" t="s">
        <v>108</v>
      </c>
      <c r="B287" s="9" t="s">
        <v>6</v>
      </c>
      <c r="C287" s="5" t="s">
        <v>29</v>
      </c>
      <c r="D287" s="9" t="s">
        <v>6</v>
      </c>
      <c r="E287" s="16">
        <v>0</v>
      </c>
      <c r="F287" s="24">
        <v>0</v>
      </c>
      <c r="G287" s="53">
        <v>124.33771</v>
      </c>
      <c r="H287" s="10">
        <v>-124.33771</v>
      </c>
      <c r="I287" s="10">
        <v>21.343348459517554</v>
      </c>
      <c r="J287" s="10">
        <v>0</v>
      </c>
      <c r="K287" s="10">
        <v>12.950943396226416</v>
      </c>
      <c r="L287" s="10">
        <v>8.3924050632911378</v>
      </c>
      <c r="M287" s="10">
        <v>0</v>
      </c>
      <c r="N287" s="11">
        <v>0.05</v>
      </c>
      <c r="O287" s="12">
        <v>1.7999999999999999E-2</v>
      </c>
      <c r="P287" s="11">
        <v>4.4699999999999997E-2</v>
      </c>
      <c r="Q287" s="35">
        <v>-145.68105845951754</v>
      </c>
      <c r="R287" s="12">
        <v>1.1716562775646868</v>
      </c>
      <c r="S287" s="10">
        <v>0</v>
      </c>
      <c r="T287" s="10">
        <v>0</v>
      </c>
      <c r="U287" s="22">
        <v>1</v>
      </c>
      <c r="V287" s="10">
        <v>22</v>
      </c>
      <c r="W287" s="10">
        <v>0</v>
      </c>
      <c r="X287" s="40">
        <v>164.18467086613046</v>
      </c>
      <c r="Y287" s="39">
        <v>7.4629395848241122</v>
      </c>
      <c r="Z287" s="15">
        <v>0.11269999999999999</v>
      </c>
      <c r="AA287" s="10">
        <v>21.343348459517554</v>
      </c>
      <c r="AB287" s="10">
        <v>1185.3776000000005</v>
      </c>
      <c r="AC287" s="43">
        <v>0</v>
      </c>
      <c r="AD287" s="43">
        <v>0</v>
      </c>
      <c r="AE287" s="44">
        <v>1392.4050632911394</v>
      </c>
      <c r="AF287" s="10">
        <v>7000</v>
      </c>
      <c r="AG287" s="10">
        <v>4415.8599000000004</v>
      </c>
      <c r="AH287" s="12">
        <v>0</v>
      </c>
      <c r="AI287" s="10">
        <v>12950.943396226416</v>
      </c>
      <c r="AJ287" s="10">
        <v>8392.4050632911385</v>
      </c>
      <c r="AK287" s="5" t="s">
        <v>29</v>
      </c>
      <c r="AL287" s="5" t="s">
        <v>29</v>
      </c>
      <c r="AM287" s="4" t="s">
        <v>143</v>
      </c>
    </row>
    <row r="288" spans="1:39" x14ac:dyDescent="0.35">
      <c r="A288" s="5" t="s">
        <v>108</v>
      </c>
      <c r="B288" s="9" t="s">
        <v>30</v>
      </c>
      <c r="C288" s="5" t="s">
        <v>29</v>
      </c>
      <c r="D288" s="9" t="s">
        <v>30</v>
      </c>
      <c r="E288" s="16">
        <v>0</v>
      </c>
      <c r="F288" s="24">
        <v>0</v>
      </c>
      <c r="G288" s="53">
        <v>6.5611999999999995</v>
      </c>
      <c r="H288" s="10">
        <v>-6.5611999999999995</v>
      </c>
      <c r="I288" s="10">
        <v>3.3856593158718784</v>
      </c>
      <c r="J288" s="10">
        <v>0</v>
      </c>
      <c r="K288" s="10">
        <v>2.3547169811320754</v>
      </c>
      <c r="L288" s="10">
        <v>1.030942334739803</v>
      </c>
      <c r="M288" s="10">
        <v>0</v>
      </c>
      <c r="N288" s="11">
        <v>0</v>
      </c>
      <c r="O288" s="12">
        <v>1.7999999999999999E-2</v>
      </c>
      <c r="P288" s="11">
        <v>4.4699999999999997E-2</v>
      </c>
      <c r="Q288" s="35">
        <v>-9.9468593158718779</v>
      </c>
      <c r="R288" s="12">
        <v>1.5160122105517098</v>
      </c>
      <c r="S288" s="10">
        <v>0</v>
      </c>
      <c r="T288" s="10">
        <v>0</v>
      </c>
      <c r="U288" s="22">
        <v>1</v>
      </c>
      <c r="V288" s="10">
        <v>4</v>
      </c>
      <c r="W288" s="10">
        <v>0</v>
      </c>
      <c r="X288" s="40">
        <v>10.612247216336154</v>
      </c>
      <c r="Y288" s="39">
        <v>2.6530618040840386</v>
      </c>
      <c r="Z288" s="15">
        <v>6.2699999999999992E-2</v>
      </c>
      <c r="AA288" s="10">
        <v>3.3856593158718784</v>
      </c>
      <c r="AB288" s="10">
        <v>1185.3776000000005</v>
      </c>
      <c r="AC288" s="43">
        <v>0</v>
      </c>
      <c r="AD288" s="43">
        <v>0</v>
      </c>
      <c r="AE288" s="44">
        <v>253.16455696202533</v>
      </c>
      <c r="AF288" s="10">
        <v>777.77777777777783</v>
      </c>
      <c r="AG288" s="10">
        <v>4415.8599000000004</v>
      </c>
      <c r="AH288" s="12">
        <v>0</v>
      </c>
      <c r="AI288" s="10">
        <v>2354.7169811320755</v>
      </c>
      <c r="AJ288" s="10">
        <v>1030.9423347398031</v>
      </c>
      <c r="AK288" s="5" t="s">
        <v>29</v>
      </c>
      <c r="AL288" s="5" t="s">
        <v>29</v>
      </c>
      <c r="AM288" s="4" t="s">
        <v>143</v>
      </c>
    </row>
    <row r="289" spans="1:39" x14ac:dyDescent="0.35">
      <c r="A289" s="5" t="s">
        <v>108</v>
      </c>
      <c r="B289" s="9" t="s">
        <v>33</v>
      </c>
      <c r="C289" s="5" t="s">
        <v>29</v>
      </c>
      <c r="D289" s="9" t="s">
        <v>33</v>
      </c>
      <c r="E289" s="16">
        <v>0.53294269355153234</v>
      </c>
      <c r="F289" s="24">
        <v>64.699800000000124</v>
      </c>
      <c r="G289" s="53">
        <v>40.172969999999999</v>
      </c>
      <c r="H289" s="10">
        <v>24.526830000000125</v>
      </c>
      <c r="I289" s="10">
        <v>55.714424065668972</v>
      </c>
      <c r="J289" s="10">
        <v>34.481285684245499</v>
      </c>
      <c r="K289" s="10">
        <v>10.596226415094339</v>
      </c>
      <c r="L289" s="10">
        <v>4.6392405063291138</v>
      </c>
      <c r="M289" s="10">
        <v>5.9976714600000118</v>
      </c>
      <c r="N289" s="11">
        <v>0.03</v>
      </c>
      <c r="O289" s="12">
        <v>1.7999999999999999E-2</v>
      </c>
      <c r="P289" s="11">
        <v>4.4699999999999997E-2</v>
      </c>
      <c r="Q289" s="35">
        <v>-31.187594065668847</v>
      </c>
      <c r="R289" s="12">
        <v>-1.2715705236130674</v>
      </c>
      <c r="S289" s="10">
        <v>21.409890839764902</v>
      </c>
      <c r="T289" s="10">
        <v>0.62091335676462556</v>
      </c>
      <c r="U289" s="22">
        <v>1</v>
      </c>
      <c r="V289" s="10">
        <v>18</v>
      </c>
      <c r="W289" s="10">
        <v>1.9409940000000037</v>
      </c>
      <c r="X289" s="40">
        <v>148.0094977899162</v>
      </c>
      <c r="Y289" s="39">
        <v>8.2227498772175664</v>
      </c>
      <c r="Z289" s="15">
        <v>0.62564269355153235</v>
      </c>
      <c r="AA289" s="10">
        <v>15.235466921423452</v>
      </c>
      <c r="AB289" s="10">
        <v>1185.3776000000005</v>
      </c>
      <c r="AC289" s="43">
        <v>5.4581594928063512E-2</v>
      </c>
      <c r="AD289" s="43">
        <v>1.4651687658840834E-2</v>
      </c>
      <c r="AE289" s="44">
        <v>1139.2405063291139</v>
      </c>
      <c r="AF289" s="10">
        <v>3500</v>
      </c>
      <c r="AG289" s="10">
        <v>4415.8599000000004</v>
      </c>
      <c r="AH289" s="12">
        <v>1.4651687658840834E-2</v>
      </c>
      <c r="AI289" s="10">
        <v>10596.226415094339</v>
      </c>
      <c r="AJ289" s="10">
        <v>4639.2405063291135</v>
      </c>
      <c r="AK289" s="5" t="s">
        <v>29</v>
      </c>
      <c r="AL289" s="5" t="s">
        <v>29</v>
      </c>
      <c r="AM289" s="4" t="s">
        <v>143</v>
      </c>
    </row>
    <row r="290" spans="1:39" x14ac:dyDescent="0.35">
      <c r="A290" s="5" t="s">
        <v>108</v>
      </c>
      <c r="B290" s="9" t="s">
        <v>34</v>
      </c>
      <c r="C290" s="5" t="s">
        <v>29</v>
      </c>
      <c r="D290" s="9" t="s">
        <v>34</v>
      </c>
      <c r="E290" s="16">
        <v>0.5156156469827291</v>
      </c>
      <c r="F290" s="24">
        <v>99.566799999999986</v>
      </c>
      <c r="G290" s="53">
        <v>0</v>
      </c>
      <c r="H290" s="10">
        <v>99.566799999999986</v>
      </c>
      <c r="I290" s="10">
        <v>67.840890282617607</v>
      </c>
      <c r="J290" s="10">
        <v>51.338199999999986</v>
      </c>
      <c r="K290" s="10">
        <v>2.9433962264150941</v>
      </c>
      <c r="L290" s="10">
        <v>7.3164556962025316</v>
      </c>
      <c r="M290" s="10">
        <v>6.2428383599999986</v>
      </c>
      <c r="N290" s="11">
        <v>0</v>
      </c>
      <c r="O290" s="12">
        <v>1.7999999999999999E-2</v>
      </c>
      <c r="P290" s="11">
        <v>4.4699999999999997E-2</v>
      </c>
      <c r="Q290" s="35">
        <v>31.725909717382379</v>
      </c>
      <c r="R290" s="12">
        <v>0.31863944324194793</v>
      </c>
      <c r="S290" s="10">
        <v>0</v>
      </c>
      <c r="T290" s="10">
        <v>0</v>
      </c>
      <c r="U290" s="22">
        <v>1</v>
      </c>
      <c r="V290" s="10">
        <v>5</v>
      </c>
      <c r="W290" s="10">
        <v>0</v>
      </c>
      <c r="X290" s="40">
        <v>24.330644116162912</v>
      </c>
      <c r="Y290" s="39">
        <v>4.8661288232325823</v>
      </c>
      <c r="Z290" s="15">
        <v>0.57831564698272908</v>
      </c>
      <c r="AA290" s="10">
        <v>10.259851922617626</v>
      </c>
      <c r="AB290" s="10">
        <v>1185.3776000000005</v>
      </c>
      <c r="AC290" s="43">
        <v>8.3995850773626854E-2</v>
      </c>
      <c r="AD290" s="43">
        <v>2.2547545043265522E-2</v>
      </c>
      <c r="AE290" s="44">
        <v>316.45569620253167</v>
      </c>
      <c r="AF290" s="10">
        <v>7000</v>
      </c>
      <c r="AG290" s="10">
        <v>4415.8599000000004</v>
      </c>
      <c r="AH290" s="12">
        <v>2.2547545043265522E-2</v>
      </c>
      <c r="AI290" s="10">
        <v>2943.3962264150941</v>
      </c>
      <c r="AJ290" s="10">
        <v>7316.4556962025317</v>
      </c>
      <c r="AK290" s="5" t="s">
        <v>29</v>
      </c>
      <c r="AL290" s="5" t="s">
        <v>29</v>
      </c>
      <c r="AM290" s="4" t="s">
        <v>143</v>
      </c>
    </row>
    <row r="291" spans="1:39" x14ac:dyDescent="0.35">
      <c r="A291" s="5" t="s">
        <v>108</v>
      </c>
      <c r="B291" s="9" t="s">
        <v>63</v>
      </c>
      <c r="C291" s="5" t="s">
        <v>29</v>
      </c>
      <c r="D291" s="9" t="s">
        <v>63</v>
      </c>
      <c r="E291" s="16">
        <v>0.5897312650207559</v>
      </c>
      <c r="F291" s="24">
        <v>91.54</v>
      </c>
      <c r="G291" s="53">
        <v>0</v>
      </c>
      <c r="H291" s="10">
        <v>91.54</v>
      </c>
      <c r="I291" s="10">
        <v>69.732491460711728</v>
      </c>
      <c r="J291" s="10">
        <v>53.984000000000002</v>
      </c>
      <c r="K291" s="10">
        <v>5.2981132075471695</v>
      </c>
      <c r="L291" s="10">
        <v>1.9646202531645569</v>
      </c>
      <c r="M291" s="10">
        <v>8.4857580000000006</v>
      </c>
      <c r="N291" s="11">
        <v>0.03</v>
      </c>
      <c r="O291" s="12">
        <v>1.7999999999999999E-2</v>
      </c>
      <c r="P291" s="11">
        <v>4.4699999999999997E-2</v>
      </c>
      <c r="Q291" s="35">
        <v>21.807508539288278</v>
      </c>
      <c r="R291" s="12">
        <v>0.23822928271016253</v>
      </c>
      <c r="S291" s="10">
        <v>0</v>
      </c>
      <c r="T291" s="10">
        <v>0</v>
      </c>
      <c r="U291" s="22">
        <v>1</v>
      </c>
      <c r="V291" s="10">
        <v>9</v>
      </c>
      <c r="W291" s="10">
        <v>2.7462</v>
      </c>
      <c r="X291" s="40">
        <v>22.869800017266844</v>
      </c>
      <c r="Y291" s="39">
        <v>2.5410888908074272</v>
      </c>
      <c r="Z291" s="15">
        <v>0.68243126502075591</v>
      </c>
      <c r="AA291" s="10">
        <v>7.2627334607117264</v>
      </c>
      <c r="AB291" s="10">
        <v>1185.3776000000005</v>
      </c>
      <c r="AC291" s="43">
        <v>7.7224337628785944E-2</v>
      </c>
      <c r="AD291" s="43">
        <v>2.0729824331609796E-2</v>
      </c>
      <c r="AE291" s="44">
        <v>569.62025316455697</v>
      </c>
      <c r="AF291" s="10">
        <v>1395</v>
      </c>
      <c r="AG291" s="10">
        <v>4415.8599000000004</v>
      </c>
      <c r="AH291" s="12">
        <v>2.0729824331609796E-2</v>
      </c>
      <c r="AI291" s="10">
        <v>5298.1132075471696</v>
      </c>
      <c r="AJ291" s="10">
        <v>1964.620253164557</v>
      </c>
      <c r="AK291" s="5" t="s">
        <v>29</v>
      </c>
      <c r="AL291" s="5" t="s">
        <v>29</v>
      </c>
      <c r="AM291" s="4" t="s">
        <v>143</v>
      </c>
    </row>
    <row r="292" spans="1:39" x14ac:dyDescent="0.35">
      <c r="A292" s="5" t="s">
        <v>108</v>
      </c>
      <c r="B292" s="9" t="s">
        <v>35</v>
      </c>
      <c r="C292" s="5" t="s">
        <v>29</v>
      </c>
      <c r="D292" s="9" t="s">
        <v>35</v>
      </c>
      <c r="E292" s="16">
        <v>0</v>
      </c>
      <c r="F292" s="24">
        <v>0</v>
      </c>
      <c r="G292" s="53">
        <v>0</v>
      </c>
      <c r="H292" s="10">
        <v>0</v>
      </c>
      <c r="I292" s="10">
        <v>0.95197038452352523</v>
      </c>
      <c r="J292" s="10">
        <v>0</v>
      </c>
      <c r="K292" s="10">
        <v>0.58867924528301885</v>
      </c>
      <c r="L292" s="10">
        <v>0.36329113924050632</v>
      </c>
      <c r="M292" s="10">
        <v>0</v>
      </c>
      <c r="N292" s="11">
        <v>0</v>
      </c>
      <c r="O292" s="12">
        <v>1.7999999999999999E-2</v>
      </c>
      <c r="P292" s="11">
        <v>4.4699999999999997E-2</v>
      </c>
      <c r="Q292" s="35">
        <v>-0.95197038452352523</v>
      </c>
      <c r="R292" s="12">
        <v>0</v>
      </c>
      <c r="S292" s="10">
        <v>0</v>
      </c>
      <c r="T292" s="10">
        <v>0</v>
      </c>
      <c r="U292" s="22">
        <v>1</v>
      </c>
      <c r="V292" s="10">
        <v>1</v>
      </c>
      <c r="W292" s="10">
        <v>0</v>
      </c>
      <c r="X292" s="40">
        <v>1.0156517491982557</v>
      </c>
      <c r="Y292" s="39">
        <v>1.0156517491982557</v>
      </c>
      <c r="Z292" s="15">
        <v>6.2699999999999992E-2</v>
      </c>
      <c r="AA292" s="10">
        <v>0.95197038452352523</v>
      </c>
      <c r="AB292" s="10">
        <v>1185.3776000000005</v>
      </c>
      <c r="AC292" s="43">
        <v>0</v>
      </c>
      <c r="AD292" s="43">
        <v>0</v>
      </c>
      <c r="AE292" s="44">
        <v>63.291139240506332</v>
      </c>
      <c r="AF292" s="10">
        <v>300</v>
      </c>
      <c r="AG292" s="10">
        <v>4415.8599000000004</v>
      </c>
      <c r="AH292" s="12">
        <v>0</v>
      </c>
      <c r="AI292" s="10">
        <v>588.67924528301887</v>
      </c>
      <c r="AJ292" s="10">
        <v>363.29113924050631</v>
      </c>
      <c r="AK292" s="5" t="s">
        <v>29</v>
      </c>
      <c r="AL292" s="5" t="s">
        <v>29</v>
      </c>
      <c r="AM292" s="4" t="s">
        <v>143</v>
      </c>
    </row>
    <row r="293" spans="1:39" x14ac:dyDescent="0.35">
      <c r="A293" s="5" t="s">
        <v>108</v>
      </c>
      <c r="B293" s="9" t="s">
        <v>137</v>
      </c>
      <c r="C293" s="5" t="s">
        <v>29</v>
      </c>
      <c r="D293" s="9" t="s">
        <v>36</v>
      </c>
      <c r="E293" s="16">
        <v>0</v>
      </c>
      <c r="F293" s="24">
        <v>0</v>
      </c>
      <c r="G293" s="53">
        <v>0</v>
      </c>
      <c r="H293" s="10">
        <v>0</v>
      </c>
      <c r="I293" s="10">
        <v>2.4059111535705755</v>
      </c>
      <c r="J293" s="10">
        <v>0</v>
      </c>
      <c r="K293" s="10">
        <v>1.7660377358490567</v>
      </c>
      <c r="L293" s="10">
        <v>0.63987341772151896</v>
      </c>
      <c r="M293" s="10">
        <v>0</v>
      </c>
      <c r="N293" s="11">
        <v>0.03</v>
      </c>
      <c r="O293" s="12">
        <v>1.7999999999999999E-2</v>
      </c>
      <c r="P293" s="11">
        <v>4.4699999999999997E-2</v>
      </c>
      <c r="Q293" s="35">
        <v>-2.4059111535705755</v>
      </c>
      <c r="R293" s="12">
        <v>0</v>
      </c>
      <c r="S293" s="10">
        <v>0</v>
      </c>
      <c r="T293" s="10">
        <v>0</v>
      </c>
      <c r="U293" s="22">
        <v>1</v>
      </c>
      <c r="V293" s="10">
        <v>3</v>
      </c>
      <c r="W293" s="10">
        <v>0</v>
      </c>
      <c r="X293" s="40">
        <v>2.6517261694815115</v>
      </c>
      <c r="Y293" s="39">
        <v>0.88390872316050384</v>
      </c>
      <c r="Z293" s="15">
        <v>9.2700000000000005E-2</v>
      </c>
      <c r="AA293" s="10">
        <v>2.4059111535705755</v>
      </c>
      <c r="AB293" s="10">
        <v>1185.3776000000005</v>
      </c>
      <c r="AC293" s="43">
        <v>0</v>
      </c>
      <c r="AD293" s="43">
        <v>0</v>
      </c>
      <c r="AE293" s="44">
        <v>189.87341772151899</v>
      </c>
      <c r="AF293" s="10">
        <v>450</v>
      </c>
      <c r="AG293" s="10">
        <v>4415.8599000000004</v>
      </c>
      <c r="AH293" s="12">
        <v>0</v>
      </c>
      <c r="AI293" s="10">
        <v>1766.0377358490566</v>
      </c>
      <c r="AJ293" s="10">
        <v>639.87341772151899</v>
      </c>
      <c r="AK293" s="5" t="s">
        <v>29</v>
      </c>
      <c r="AL293" s="5" t="s">
        <v>29</v>
      </c>
      <c r="AM293" s="4" t="s">
        <v>143</v>
      </c>
    </row>
    <row r="294" spans="1:39" x14ac:dyDescent="0.35">
      <c r="A294" s="5" t="s">
        <v>108</v>
      </c>
      <c r="B294" s="9" t="s">
        <v>37</v>
      </c>
      <c r="C294" s="5" t="s">
        <v>29</v>
      </c>
      <c r="D294" s="9" t="s">
        <v>37</v>
      </c>
      <c r="E294" s="16">
        <v>0.53500955566172947</v>
      </c>
      <c r="F294" s="24">
        <v>16.744</v>
      </c>
      <c r="G294" s="53">
        <v>50.689159999999994</v>
      </c>
      <c r="H294" s="10">
        <v>-33.945159999999994</v>
      </c>
      <c r="I294" s="10">
        <v>14.798346072816207</v>
      </c>
      <c r="J294" s="10">
        <v>8.9581999999999979</v>
      </c>
      <c r="K294" s="10">
        <v>3.5320754716981133</v>
      </c>
      <c r="L294" s="10">
        <v>1.2582218011180952</v>
      </c>
      <c r="M294" s="10">
        <v>1.0498487999999999</v>
      </c>
      <c r="N294" s="11">
        <v>0</v>
      </c>
      <c r="O294" s="12">
        <v>1.7999999999999999E-2</v>
      </c>
      <c r="P294" s="11">
        <v>4.4699999999999997E-2</v>
      </c>
      <c r="Q294" s="35">
        <v>-48.743506072816203</v>
      </c>
      <c r="R294" s="12">
        <v>1.4359486322296378</v>
      </c>
      <c r="S294" s="10">
        <v>27.119184968466307</v>
      </c>
      <c r="T294" s="10">
        <v>3.0273029144768273</v>
      </c>
      <c r="U294" s="22">
        <v>1</v>
      </c>
      <c r="V294" s="10">
        <v>6</v>
      </c>
      <c r="W294" s="10">
        <v>0</v>
      </c>
      <c r="X294" s="40">
        <v>137.90896118369062</v>
      </c>
      <c r="Y294" s="39">
        <v>22.984826863948438</v>
      </c>
      <c r="Z294" s="15">
        <v>0.59770955566172945</v>
      </c>
      <c r="AA294" s="10">
        <v>4.7902972728162085</v>
      </c>
      <c r="AB294" s="10">
        <v>1185.3776000000005</v>
      </c>
      <c r="AC294" s="43">
        <v>1.4125456732099537E-2</v>
      </c>
      <c r="AD294" s="43">
        <v>3.7917869631688265E-3</v>
      </c>
      <c r="AE294" s="44">
        <v>379.74683544303798</v>
      </c>
      <c r="AF294" s="10">
        <v>878.47496567505721</v>
      </c>
      <c r="AG294" s="10">
        <v>4415.8599000000004</v>
      </c>
      <c r="AH294" s="12">
        <v>3.7917869631688265E-3</v>
      </c>
      <c r="AI294" s="10">
        <v>3532.0754716981132</v>
      </c>
      <c r="AJ294" s="10">
        <v>1258.2218011180953</v>
      </c>
      <c r="AK294" s="5" t="s">
        <v>29</v>
      </c>
      <c r="AL294" s="5" t="s">
        <v>29</v>
      </c>
      <c r="AM294" s="4" t="s">
        <v>143</v>
      </c>
    </row>
    <row r="295" spans="1:39" x14ac:dyDescent="0.35">
      <c r="A295" s="5" t="s">
        <v>108</v>
      </c>
      <c r="B295" s="9" t="s">
        <v>38</v>
      </c>
      <c r="C295" s="5" t="s">
        <v>29</v>
      </c>
      <c r="D295" s="9" t="s">
        <v>38</v>
      </c>
      <c r="E295" s="16">
        <v>0</v>
      </c>
      <c r="F295" s="24">
        <v>0</v>
      </c>
      <c r="G295" s="53">
        <v>39.156289999999998</v>
      </c>
      <c r="H295" s="10">
        <v>-39.156289999999998</v>
      </c>
      <c r="I295" s="10">
        <v>54.736806532123246</v>
      </c>
      <c r="J295" s="10">
        <v>0</v>
      </c>
      <c r="K295" s="10">
        <v>40.618867924528303</v>
      </c>
      <c r="L295" s="10">
        <v>14.117938607594944</v>
      </c>
      <c r="M295" s="10">
        <v>0</v>
      </c>
      <c r="N295" s="11">
        <v>5.5E-2</v>
      </c>
      <c r="O295" s="12">
        <v>1.7999999999999999E-2</v>
      </c>
      <c r="P295" s="11">
        <v>4.4699999999999997E-2</v>
      </c>
      <c r="Q295" s="35">
        <v>-93.893096532123252</v>
      </c>
      <c r="R295" s="12">
        <v>2.3979058417465815</v>
      </c>
      <c r="S295" s="10">
        <v>0</v>
      </c>
      <c r="T295" s="10">
        <v>0</v>
      </c>
      <c r="U295" s="22">
        <v>1</v>
      </c>
      <c r="V295" s="10">
        <v>69</v>
      </c>
      <c r="W295" s="10">
        <v>0</v>
      </c>
      <c r="X295" s="40">
        <v>106.41856118341069</v>
      </c>
      <c r="Y295" s="39">
        <v>1.5422979881653722</v>
      </c>
      <c r="Z295" s="15">
        <v>0.1177</v>
      </c>
      <c r="AA295" s="10">
        <v>54.736806532123246</v>
      </c>
      <c r="AB295" s="10">
        <v>1185.3776000000005</v>
      </c>
      <c r="AC295" s="43">
        <v>0</v>
      </c>
      <c r="AD295" s="43">
        <v>0</v>
      </c>
      <c r="AE295" s="44">
        <v>4367.0886075949365</v>
      </c>
      <c r="AF295" s="10">
        <v>9750.8500000000076</v>
      </c>
      <c r="AG295" s="10">
        <v>4415.8599000000004</v>
      </c>
      <c r="AH295" s="12">
        <v>0</v>
      </c>
      <c r="AI295" s="10">
        <v>40618.867924528306</v>
      </c>
      <c r="AJ295" s="10">
        <v>14117.938607594944</v>
      </c>
      <c r="AK295" s="5" t="s">
        <v>29</v>
      </c>
      <c r="AL295" s="5" t="s">
        <v>29</v>
      </c>
      <c r="AM295" s="4" t="s">
        <v>143</v>
      </c>
    </row>
    <row r="296" spans="1:39" x14ac:dyDescent="0.35">
      <c r="A296" s="5" t="s">
        <v>108</v>
      </c>
      <c r="B296" s="9" t="s">
        <v>39</v>
      </c>
      <c r="C296" s="5" t="s">
        <v>29</v>
      </c>
      <c r="D296" s="9" t="s">
        <v>39</v>
      </c>
      <c r="E296" s="16">
        <v>0.55501883201036784</v>
      </c>
      <c r="F296" s="24">
        <v>158.02880000000016</v>
      </c>
      <c r="G296" s="53">
        <v>15.14189</v>
      </c>
      <c r="H296" s="10">
        <v>142.88691000000017</v>
      </c>
      <c r="I296" s="10">
        <v>189.79503807996619</v>
      </c>
      <c r="J296" s="10">
        <v>87.708960000000104</v>
      </c>
      <c r="K296" s="10">
        <v>61.222641509433963</v>
      </c>
      <c r="L296" s="10">
        <v>26.214166810532092</v>
      </c>
      <c r="M296" s="10">
        <v>14.649269760000015</v>
      </c>
      <c r="N296" s="11">
        <v>0.03</v>
      </c>
      <c r="O296" s="12">
        <v>1.7999999999999999E-2</v>
      </c>
      <c r="P296" s="11">
        <v>4.4699999999999997E-2</v>
      </c>
      <c r="Q296" s="35">
        <v>-46.908128079966019</v>
      </c>
      <c r="R296" s="12">
        <v>-0.32828849108687397</v>
      </c>
      <c r="S296" s="10">
        <v>8.4040341022294687</v>
      </c>
      <c r="T296" s="10">
        <v>9.5817281406933325E-2</v>
      </c>
      <c r="U296" s="22">
        <v>1</v>
      </c>
      <c r="V296" s="10">
        <v>104</v>
      </c>
      <c r="W296" s="10">
        <v>4.7408640000000046</v>
      </c>
      <c r="X296" s="40">
        <v>291.18416662847278</v>
      </c>
      <c r="Y296" s="39">
        <v>2.7998477560430075</v>
      </c>
      <c r="Z296" s="15">
        <v>0.64771883201036784</v>
      </c>
      <c r="AA296" s="10">
        <v>87.436808319966048</v>
      </c>
      <c r="AB296" s="10">
        <v>1185.3776000000005</v>
      </c>
      <c r="AC296" s="43">
        <v>0.13331515628437732</v>
      </c>
      <c r="AD296" s="43">
        <v>3.5786642597062497E-2</v>
      </c>
      <c r="AE296" s="44">
        <v>6582.2784810126586</v>
      </c>
      <c r="AF296" s="10">
        <v>19631.888329519436</v>
      </c>
      <c r="AG296" s="10">
        <v>4415.8599000000004</v>
      </c>
      <c r="AH296" s="12">
        <v>3.5786642597062497E-2</v>
      </c>
      <c r="AI296" s="10">
        <v>61222.641509433961</v>
      </c>
      <c r="AJ296" s="10">
        <v>26214.166810532093</v>
      </c>
      <c r="AK296" s="5" t="s">
        <v>29</v>
      </c>
      <c r="AL296" s="5" t="s">
        <v>29</v>
      </c>
      <c r="AM296" s="4" t="s">
        <v>143</v>
      </c>
    </row>
    <row r="297" spans="1:39" x14ac:dyDescent="0.35">
      <c r="A297" s="5" t="s">
        <v>108</v>
      </c>
      <c r="B297" s="9" t="s">
        <v>40</v>
      </c>
      <c r="C297" s="5" t="s">
        <v>29</v>
      </c>
      <c r="D297" s="9" t="s">
        <v>40</v>
      </c>
      <c r="E297" s="16">
        <v>0.55850340136054388</v>
      </c>
      <c r="F297" s="24">
        <v>125.18520000000004</v>
      </c>
      <c r="G297" s="53">
        <v>35.547060000000002</v>
      </c>
      <c r="H297" s="10">
        <v>89.638140000000035</v>
      </c>
      <c r="I297" s="10">
        <v>109.42202152120666</v>
      </c>
      <c r="J297" s="10">
        <v>69.916359999999983</v>
      </c>
      <c r="K297" s="10">
        <v>20.60377358490566</v>
      </c>
      <c r="L297" s="10">
        <v>7.2972198963010175</v>
      </c>
      <c r="M297" s="10">
        <v>11.604668040000004</v>
      </c>
      <c r="N297" s="11">
        <v>0.03</v>
      </c>
      <c r="O297" s="12">
        <v>1.7999999999999999E-2</v>
      </c>
      <c r="P297" s="11">
        <v>4.4699999999999997E-2</v>
      </c>
      <c r="Q297" s="35">
        <v>-19.783881521206624</v>
      </c>
      <c r="R297" s="12">
        <v>-0.22070830029724642</v>
      </c>
      <c r="S297" s="10">
        <v>19.853153918367337</v>
      </c>
      <c r="T297" s="10">
        <v>0.28395577112949449</v>
      </c>
      <c r="U297" s="22">
        <v>1</v>
      </c>
      <c r="V297" s="10">
        <v>35</v>
      </c>
      <c r="W297" s="10">
        <v>3.7555560000000008</v>
      </c>
      <c r="X297" s="40">
        <v>181.90559692582218</v>
      </c>
      <c r="Y297" s="39">
        <v>5.1973027693092053</v>
      </c>
      <c r="Z297" s="15">
        <v>0.65120340136054389</v>
      </c>
      <c r="AA297" s="10">
        <v>27.900993481206676</v>
      </c>
      <c r="AB297" s="10">
        <v>1185.3776000000005</v>
      </c>
      <c r="AC297" s="43">
        <v>0.10560786706278234</v>
      </c>
      <c r="AD297" s="43">
        <v>2.8348997213430621E-2</v>
      </c>
      <c r="AE297" s="44">
        <v>2215.1898734177216</v>
      </c>
      <c r="AF297" s="10">
        <v>5082.0300228832957</v>
      </c>
      <c r="AG297" s="10">
        <v>4415.8599000000004</v>
      </c>
      <c r="AH297" s="12">
        <v>2.8348997213430621E-2</v>
      </c>
      <c r="AI297" s="10">
        <v>20603.773584905659</v>
      </c>
      <c r="AJ297" s="10">
        <v>7297.2198963010178</v>
      </c>
      <c r="AK297" s="5" t="s">
        <v>29</v>
      </c>
      <c r="AL297" s="5" t="s">
        <v>29</v>
      </c>
      <c r="AM297" s="4" t="s">
        <v>143</v>
      </c>
    </row>
    <row r="298" spans="1:39" x14ac:dyDescent="0.35">
      <c r="A298" s="5" t="s">
        <v>108</v>
      </c>
      <c r="B298" s="9" t="s">
        <v>41</v>
      </c>
      <c r="C298" s="5" t="s">
        <v>29</v>
      </c>
      <c r="D298" s="9" t="s">
        <v>41</v>
      </c>
      <c r="E298" s="16">
        <v>0</v>
      </c>
      <c r="F298" s="24">
        <v>0</v>
      </c>
      <c r="G298" s="53">
        <v>63.439339999999994</v>
      </c>
      <c r="H298" s="10">
        <v>-63.439339999999994</v>
      </c>
      <c r="I298" s="10">
        <v>27.338343188216335</v>
      </c>
      <c r="J298" s="10">
        <v>0</v>
      </c>
      <c r="K298" s="10">
        <v>20.015094339622642</v>
      </c>
      <c r="L298" s="10">
        <v>7.3232488485936909</v>
      </c>
      <c r="M298" s="10">
        <v>0</v>
      </c>
      <c r="N298" s="11">
        <v>0.03</v>
      </c>
      <c r="O298" s="12">
        <v>1.7999999999999999E-2</v>
      </c>
      <c r="P298" s="11">
        <v>4.4699999999999997E-2</v>
      </c>
      <c r="Q298" s="35">
        <v>-90.777683188216329</v>
      </c>
      <c r="R298" s="12">
        <v>1.4309367529393644</v>
      </c>
      <c r="S298" s="10">
        <v>0</v>
      </c>
      <c r="T298" s="10">
        <v>0</v>
      </c>
      <c r="U298" s="22">
        <v>1</v>
      </c>
      <c r="V298" s="10">
        <v>34</v>
      </c>
      <c r="W298" s="10">
        <v>0</v>
      </c>
      <c r="X298" s="40">
        <v>100.05255504046769</v>
      </c>
      <c r="Y298" s="39">
        <v>2.9427222070725794</v>
      </c>
      <c r="Z298" s="15">
        <v>9.2700000000000005E-2</v>
      </c>
      <c r="AA298" s="10">
        <v>27.338343188216335</v>
      </c>
      <c r="AB298" s="10">
        <v>1185.3776000000005</v>
      </c>
      <c r="AC298" s="43">
        <v>0</v>
      </c>
      <c r="AD298" s="43">
        <v>0</v>
      </c>
      <c r="AE298" s="44">
        <v>2151.8987341772154</v>
      </c>
      <c r="AF298" s="10">
        <v>5171.3501144164757</v>
      </c>
      <c r="AG298" s="10">
        <v>4415.8599000000004</v>
      </c>
      <c r="AH298" s="12">
        <v>0</v>
      </c>
      <c r="AI298" s="10">
        <v>20015.094339622643</v>
      </c>
      <c r="AJ298" s="10">
        <v>7323.248848593691</v>
      </c>
      <c r="AK298" s="5" t="s">
        <v>29</v>
      </c>
      <c r="AL298" s="5" t="s">
        <v>29</v>
      </c>
      <c r="AM298" s="4" t="s">
        <v>143</v>
      </c>
    </row>
    <row r="299" spans="1:39" x14ac:dyDescent="0.35">
      <c r="A299" s="5" t="s">
        <v>108</v>
      </c>
      <c r="B299" s="9" t="s">
        <v>42</v>
      </c>
      <c r="C299" s="5" t="s">
        <v>29</v>
      </c>
      <c r="D299" s="9" t="s">
        <v>42</v>
      </c>
      <c r="E299" s="16">
        <v>0.57720786312340733</v>
      </c>
      <c r="F299" s="24">
        <v>54.939999999999984</v>
      </c>
      <c r="G299" s="53">
        <v>0.25800000000000001</v>
      </c>
      <c r="H299" s="10">
        <v>54.681999999999981</v>
      </c>
      <c r="I299" s="10">
        <v>52.93232338332934</v>
      </c>
      <c r="J299" s="10">
        <v>31.71179999999999</v>
      </c>
      <c r="K299" s="10">
        <v>8.2415094339622641</v>
      </c>
      <c r="L299" s="10">
        <v>7.8860759493670889</v>
      </c>
      <c r="M299" s="10">
        <v>5.0929379999999984</v>
      </c>
      <c r="N299" s="11">
        <v>0.03</v>
      </c>
      <c r="O299" s="12">
        <v>1.7999999999999999E-2</v>
      </c>
      <c r="P299" s="11">
        <v>4.4699999999999997E-2</v>
      </c>
      <c r="Q299" s="35">
        <v>1.7496766166706408</v>
      </c>
      <c r="R299" s="12">
        <v>3.199730471948066E-2</v>
      </c>
      <c r="S299" s="10">
        <v>0.14891962868583911</v>
      </c>
      <c r="T299" s="10">
        <v>4.6960320349472163E-3</v>
      </c>
      <c r="U299" s="22">
        <v>1</v>
      </c>
      <c r="V299" s="10">
        <v>14</v>
      </c>
      <c r="W299" s="10">
        <v>1.6481999999999994</v>
      </c>
      <c r="X299" s="40">
        <v>49.639429579794033</v>
      </c>
      <c r="Y299" s="39">
        <v>3.5456735414138594</v>
      </c>
      <c r="Z299" s="15">
        <v>0.66990786312340733</v>
      </c>
      <c r="AA299" s="10">
        <v>16.127585383329354</v>
      </c>
      <c r="AB299" s="10">
        <v>1185.3776000000005</v>
      </c>
      <c r="AC299" s="43">
        <v>4.6348100385902313E-2</v>
      </c>
      <c r="AD299" s="43">
        <v>1.2441517902322938E-2</v>
      </c>
      <c r="AE299" s="44">
        <v>886.0759493670887</v>
      </c>
      <c r="AF299" s="10">
        <v>7000</v>
      </c>
      <c r="AG299" s="10">
        <v>4415.8599000000004</v>
      </c>
      <c r="AH299" s="12">
        <v>1.2441517902322938E-2</v>
      </c>
      <c r="AI299" s="10">
        <v>8241.5094339622647</v>
      </c>
      <c r="AJ299" s="10">
        <v>7886.0759493670885</v>
      </c>
      <c r="AK299" s="5" t="s">
        <v>29</v>
      </c>
      <c r="AL299" s="5" t="s">
        <v>29</v>
      </c>
      <c r="AM299" s="4" t="s">
        <v>143</v>
      </c>
    </row>
    <row r="300" spans="1:39" x14ac:dyDescent="0.35">
      <c r="A300" s="5" t="s">
        <v>108</v>
      </c>
      <c r="B300" s="9" t="s">
        <v>137</v>
      </c>
      <c r="C300" s="5" t="s">
        <v>29</v>
      </c>
      <c r="D300" s="9" t="s">
        <v>43</v>
      </c>
      <c r="E300" s="16">
        <v>0</v>
      </c>
      <c r="F300" s="24">
        <v>0</v>
      </c>
      <c r="G300" s="53">
        <v>0</v>
      </c>
      <c r="H300" s="10">
        <v>0</v>
      </c>
      <c r="I300" s="10">
        <v>0.8019703845235252</v>
      </c>
      <c r="J300" s="10">
        <v>0</v>
      </c>
      <c r="K300" s="10">
        <v>0.58867924528301885</v>
      </c>
      <c r="L300" s="10">
        <v>0.21329113924050633</v>
      </c>
      <c r="M300" s="10">
        <v>0</v>
      </c>
      <c r="N300" s="11">
        <v>0.03</v>
      </c>
      <c r="O300" s="12">
        <v>1.7999999999999999E-2</v>
      </c>
      <c r="P300" s="11">
        <v>4.4699999999999997E-2</v>
      </c>
      <c r="Q300" s="35">
        <v>-0.8019703845235252</v>
      </c>
      <c r="R300" s="12">
        <v>0</v>
      </c>
      <c r="S300" s="10">
        <v>0</v>
      </c>
      <c r="T300" s="10">
        <v>0</v>
      </c>
      <c r="U300" s="22">
        <v>1</v>
      </c>
      <c r="V300" s="10">
        <v>1</v>
      </c>
      <c r="W300" s="10">
        <v>0</v>
      </c>
      <c r="X300" s="40">
        <v>0.88390872316050395</v>
      </c>
      <c r="Y300" s="39">
        <v>0.88390872316050395</v>
      </c>
      <c r="Z300" s="15">
        <v>9.2700000000000005E-2</v>
      </c>
      <c r="AA300" s="10">
        <v>0.8019703845235252</v>
      </c>
      <c r="AB300" s="10">
        <v>1185.3776000000005</v>
      </c>
      <c r="AC300" s="43">
        <v>0</v>
      </c>
      <c r="AD300" s="43">
        <v>0</v>
      </c>
      <c r="AE300" s="44">
        <v>63.291139240506332</v>
      </c>
      <c r="AF300" s="10">
        <v>150</v>
      </c>
      <c r="AG300" s="10">
        <v>4415.8599000000004</v>
      </c>
      <c r="AH300" s="12">
        <v>0</v>
      </c>
      <c r="AI300" s="10">
        <v>588.67924528301887</v>
      </c>
      <c r="AJ300" s="10">
        <v>213.29113924050634</v>
      </c>
      <c r="AK300" s="5" t="s">
        <v>29</v>
      </c>
      <c r="AL300" s="5" t="s">
        <v>29</v>
      </c>
      <c r="AM300" s="4" t="s">
        <v>143</v>
      </c>
    </row>
    <row r="301" spans="1:39" x14ac:dyDescent="0.35">
      <c r="A301" s="5" t="s">
        <v>108</v>
      </c>
      <c r="B301" s="9" t="s">
        <v>137</v>
      </c>
      <c r="C301" s="5" t="s">
        <v>29</v>
      </c>
      <c r="D301" s="9" t="s">
        <v>44</v>
      </c>
      <c r="E301" s="16">
        <v>0</v>
      </c>
      <c r="F301" s="24">
        <v>0</v>
      </c>
      <c r="G301" s="53">
        <v>0</v>
      </c>
      <c r="H301" s="10">
        <v>0</v>
      </c>
      <c r="I301" s="10">
        <v>3.2078815380941008</v>
      </c>
      <c r="J301" s="10">
        <v>0</v>
      </c>
      <c r="K301" s="10">
        <v>2.3547169811320754</v>
      </c>
      <c r="L301" s="10">
        <v>0.85316455696202531</v>
      </c>
      <c r="M301" s="10">
        <v>0</v>
      </c>
      <c r="N301" s="11">
        <v>0.03</v>
      </c>
      <c r="O301" s="12">
        <v>1.7999999999999999E-2</v>
      </c>
      <c r="P301" s="11">
        <v>4.4699999999999997E-2</v>
      </c>
      <c r="Q301" s="35">
        <v>-3.2078815380941008</v>
      </c>
      <c r="R301" s="12">
        <v>0</v>
      </c>
      <c r="S301" s="10">
        <v>0</v>
      </c>
      <c r="T301" s="10">
        <v>0</v>
      </c>
      <c r="U301" s="22">
        <v>1</v>
      </c>
      <c r="V301" s="10">
        <v>4</v>
      </c>
      <c r="W301" s="10">
        <v>0</v>
      </c>
      <c r="X301" s="40">
        <v>3.5356348926420158</v>
      </c>
      <c r="Y301" s="39">
        <v>0.88390872316050395</v>
      </c>
      <c r="Z301" s="15">
        <v>9.2700000000000005E-2</v>
      </c>
      <c r="AA301" s="10">
        <v>3.2078815380941008</v>
      </c>
      <c r="AB301" s="10">
        <v>1185.3776000000005</v>
      </c>
      <c r="AC301" s="43">
        <v>0</v>
      </c>
      <c r="AD301" s="43">
        <v>0</v>
      </c>
      <c r="AE301" s="44">
        <v>253.16455696202533</v>
      </c>
      <c r="AF301" s="10">
        <v>600</v>
      </c>
      <c r="AG301" s="10">
        <v>4415.8599000000004</v>
      </c>
      <c r="AH301" s="12">
        <v>0</v>
      </c>
      <c r="AI301" s="10">
        <v>2354.7169811320755</v>
      </c>
      <c r="AJ301" s="10">
        <v>853.16455696202536</v>
      </c>
      <c r="AK301" s="5" t="s">
        <v>29</v>
      </c>
      <c r="AL301" s="5" t="s">
        <v>29</v>
      </c>
      <c r="AM301" s="4" t="s">
        <v>143</v>
      </c>
    </row>
    <row r="302" spans="1:39" x14ac:dyDescent="0.35">
      <c r="A302" s="5" t="s">
        <v>108</v>
      </c>
      <c r="B302" s="9" t="s">
        <v>137</v>
      </c>
      <c r="C302" s="5" t="s">
        <v>29</v>
      </c>
      <c r="D302" s="9" t="s">
        <v>121</v>
      </c>
      <c r="E302" s="16">
        <v>0</v>
      </c>
      <c r="F302" s="24">
        <v>0</v>
      </c>
      <c r="G302" s="53">
        <v>0</v>
      </c>
      <c r="H302" s="10">
        <v>0</v>
      </c>
      <c r="I302" s="10">
        <v>0</v>
      </c>
      <c r="J302" s="10">
        <v>0</v>
      </c>
      <c r="K302" s="10">
        <v>0</v>
      </c>
      <c r="L302" s="10">
        <v>0</v>
      </c>
      <c r="M302" s="10">
        <v>0</v>
      </c>
      <c r="N302" s="11">
        <v>0.03</v>
      </c>
      <c r="O302" s="12">
        <v>1.7999999999999999E-2</v>
      </c>
      <c r="P302" s="11">
        <v>4.4699999999999997E-2</v>
      </c>
      <c r="Q302" s="35">
        <v>0</v>
      </c>
      <c r="R302" s="12">
        <v>0</v>
      </c>
      <c r="S302" s="10">
        <v>0</v>
      </c>
      <c r="T302" s="10">
        <v>0</v>
      </c>
      <c r="U302" s="22">
        <v>1</v>
      </c>
      <c r="V302" s="10">
        <v>0</v>
      </c>
      <c r="W302" s="10">
        <v>0</v>
      </c>
      <c r="X302" s="40">
        <v>0</v>
      </c>
      <c r="Y302" s="39">
        <v>0</v>
      </c>
      <c r="Z302" s="15">
        <v>9.2700000000000005E-2</v>
      </c>
      <c r="AA302" s="10">
        <v>0</v>
      </c>
      <c r="AB302" s="10">
        <v>1185.3776000000005</v>
      </c>
      <c r="AC302" s="43">
        <v>0</v>
      </c>
      <c r="AD302" s="43">
        <v>0</v>
      </c>
      <c r="AE302" s="44">
        <v>0</v>
      </c>
      <c r="AF302" s="10">
        <v>0</v>
      </c>
      <c r="AG302" s="10">
        <v>4415.8599000000004</v>
      </c>
      <c r="AH302" s="12">
        <v>0</v>
      </c>
      <c r="AI302" s="10">
        <v>0</v>
      </c>
      <c r="AJ302" s="10">
        <v>0</v>
      </c>
      <c r="AK302" s="5" t="s">
        <v>29</v>
      </c>
      <c r="AL302" s="5" t="s">
        <v>29</v>
      </c>
      <c r="AM302" s="4" t="s">
        <v>143</v>
      </c>
    </row>
    <row r="303" spans="1:39" x14ac:dyDescent="0.35">
      <c r="A303" s="5" t="s">
        <v>108</v>
      </c>
      <c r="B303" s="9" t="s">
        <v>63</v>
      </c>
      <c r="C303" s="5" t="s">
        <v>29</v>
      </c>
      <c r="D303" s="9" t="s">
        <v>64</v>
      </c>
      <c r="E303" s="16">
        <v>0.60226415094339625</v>
      </c>
      <c r="F303" s="24">
        <v>7.9500000000000011</v>
      </c>
      <c r="G303" s="53">
        <v>7.8150000000000004</v>
      </c>
      <c r="H303" s="10">
        <v>0.13500000000000068</v>
      </c>
      <c r="I303" s="10">
        <v>6.1769353845235262</v>
      </c>
      <c r="J303" s="10">
        <v>4.7880000000000011</v>
      </c>
      <c r="K303" s="10">
        <v>0.58867924528301885</v>
      </c>
      <c r="L303" s="10">
        <v>6.3291139240506333E-2</v>
      </c>
      <c r="M303" s="10">
        <v>0.73696500000000009</v>
      </c>
      <c r="N303" s="11">
        <v>0.03</v>
      </c>
      <c r="O303" s="12">
        <v>1.7999999999999999E-2</v>
      </c>
      <c r="P303" s="11">
        <v>4.4699999999999997E-2</v>
      </c>
      <c r="Q303" s="35">
        <v>-6.0419353845235255</v>
      </c>
      <c r="R303" s="12">
        <v>-44.755076922396263</v>
      </c>
      <c r="S303" s="10">
        <v>4.7066943396226417</v>
      </c>
      <c r="T303" s="10">
        <v>0.98301886792452819</v>
      </c>
      <c r="U303" s="22">
        <v>1</v>
      </c>
      <c r="V303" s="10">
        <v>1</v>
      </c>
      <c r="W303" s="10">
        <v>0.23850000000000002</v>
      </c>
      <c r="X303" s="40">
        <v>27.757296103751919</v>
      </c>
      <c r="Y303" s="39">
        <v>27.757296103751919</v>
      </c>
      <c r="Z303" s="15">
        <v>0.69496415094339625</v>
      </c>
      <c r="AA303" s="10">
        <v>0.65197038452352518</v>
      </c>
      <c r="AB303" s="10">
        <v>1185.3776000000005</v>
      </c>
      <c r="AC303" s="43">
        <v>6.7067236634132431E-3</v>
      </c>
      <c r="AD303" s="43">
        <v>1.8003288555418166E-3</v>
      </c>
      <c r="AE303" s="44">
        <v>63.291139240506332</v>
      </c>
      <c r="AF303" s="10">
        <v>0</v>
      </c>
      <c r="AG303" s="10">
        <v>4415.8599000000004</v>
      </c>
      <c r="AH303" s="12">
        <v>1.8003288555418166E-3</v>
      </c>
      <c r="AI303" s="10">
        <v>588.67924528301887</v>
      </c>
      <c r="AJ303" s="10">
        <v>63.291139240506332</v>
      </c>
      <c r="AK303" s="5" t="s">
        <v>29</v>
      </c>
      <c r="AL303" s="5" t="s">
        <v>29</v>
      </c>
      <c r="AM303" s="4" t="s">
        <v>143</v>
      </c>
    </row>
    <row r="304" spans="1:39" x14ac:dyDescent="0.35">
      <c r="A304" s="5" t="s">
        <v>108</v>
      </c>
      <c r="B304" s="9" t="s">
        <v>48</v>
      </c>
      <c r="C304" s="5" t="s">
        <v>29</v>
      </c>
      <c r="D304" s="9" t="s">
        <v>48</v>
      </c>
      <c r="E304" s="16">
        <v>0.54984977605368868</v>
      </c>
      <c r="F304" s="24">
        <v>341.82300000000015</v>
      </c>
      <c r="G304" s="53">
        <v>106.33722</v>
      </c>
      <c r="H304" s="10">
        <v>235.48578000000015</v>
      </c>
      <c r="I304" s="10">
        <v>252.06513709641763</v>
      </c>
      <c r="J304" s="10">
        <v>187.95130000000012</v>
      </c>
      <c r="K304" s="10">
        <v>22.958490566037739</v>
      </c>
      <c r="L304" s="10">
        <v>9.4683544303797458</v>
      </c>
      <c r="M304" s="10">
        <v>31.686992100000015</v>
      </c>
      <c r="N304" s="11">
        <v>0.03</v>
      </c>
      <c r="O304" s="12">
        <v>1.7999999999999999E-2</v>
      </c>
      <c r="P304" s="11">
        <v>4.4699999999999997E-2</v>
      </c>
      <c r="Q304" s="35">
        <v>-16.579357096417482</v>
      </c>
      <c r="R304" s="12">
        <v>-7.0404918277517534E-2</v>
      </c>
      <c r="S304" s="10">
        <v>58.469496603171827</v>
      </c>
      <c r="T304" s="10">
        <v>0.31108854582634859</v>
      </c>
      <c r="U304" s="22">
        <v>1</v>
      </c>
      <c r="V304" s="10">
        <v>39</v>
      </c>
      <c r="W304" s="10">
        <v>10.254690000000004</v>
      </c>
      <c r="X304" s="40">
        <v>388.20528202343417</v>
      </c>
      <c r="Y304" s="39">
        <v>9.9539815903444655</v>
      </c>
      <c r="Z304" s="15">
        <v>0.64254977605368868</v>
      </c>
      <c r="AA304" s="10">
        <v>32.426844996417486</v>
      </c>
      <c r="AB304" s="10">
        <v>1185.3776000000005</v>
      </c>
      <c r="AC304" s="43">
        <v>0.28836633997470512</v>
      </c>
      <c r="AD304" s="43">
        <v>7.7408026463883089E-2</v>
      </c>
      <c r="AE304" s="44">
        <v>2468.3544303797471</v>
      </c>
      <c r="AF304" s="10">
        <v>6999.9999999999991</v>
      </c>
      <c r="AG304" s="10">
        <v>4415.8599000000004</v>
      </c>
      <c r="AH304" s="12">
        <v>7.7408026463883089E-2</v>
      </c>
      <c r="AI304" s="10">
        <v>22958.490566037737</v>
      </c>
      <c r="AJ304" s="10">
        <v>9468.3544303797462</v>
      </c>
      <c r="AK304" s="5" t="s">
        <v>29</v>
      </c>
      <c r="AL304" s="5" t="s">
        <v>29</v>
      </c>
      <c r="AM304" s="4" t="s">
        <v>143</v>
      </c>
    </row>
    <row r="305" spans="1:39" x14ac:dyDescent="0.35">
      <c r="A305" s="5" t="s">
        <v>108</v>
      </c>
      <c r="B305" s="9" t="s">
        <v>73</v>
      </c>
      <c r="C305" s="5" t="s">
        <v>29</v>
      </c>
      <c r="D305" s="9" t="s">
        <v>73</v>
      </c>
      <c r="E305" s="16">
        <v>0.53681893687707638</v>
      </c>
      <c r="F305" s="24">
        <v>120.39999999999999</v>
      </c>
      <c r="G305" s="53">
        <v>10.403780000000001</v>
      </c>
      <c r="H305" s="10">
        <v>109.99621999999999</v>
      </c>
      <c r="I305" s="10">
        <v>75.794079999999994</v>
      </c>
      <c r="J305" s="10">
        <v>64.632999999999996</v>
      </c>
      <c r="K305" s="10">
        <v>0</v>
      </c>
      <c r="L305" s="10">
        <v>0</v>
      </c>
      <c r="M305" s="10">
        <v>11.16108</v>
      </c>
      <c r="N305" s="11">
        <v>0.03</v>
      </c>
      <c r="O305" s="12">
        <v>1.7999999999999999E-2</v>
      </c>
      <c r="P305" s="11">
        <v>4.4699999999999997E-2</v>
      </c>
      <c r="Q305" s="35">
        <v>34.20214</v>
      </c>
      <c r="R305" s="12">
        <v>0.31093923045719207</v>
      </c>
      <c r="S305" s="10">
        <v>5.5849461191029901</v>
      </c>
      <c r="T305" s="10">
        <v>8.6410132890365463E-2</v>
      </c>
      <c r="U305" s="22">
        <v>1</v>
      </c>
      <c r="V305" s="10">
        <v>0</v>
      </c>
      <c r="W305" s="10">
        <v>3.6119999999999997</v>
      </c>
      <c r="X305" s="40">
        <v>28.081813176367621</v>
      </c>
      <c r="Y305" s="39">
        <v>28.081813176367621</v>
      </c>
      <c r="Z305" s="15">
        <v>0.62951893687707638</v>
      </c>
      <c r="AA305" s="10">
        <v>0</v>
      </c>
      <c r="AB305" s="10">
        <v>1185.3776000000005</v>
      </c>
      <c r="AC305" s="43">
        <v>0.10157100994653513</v>
      </c>
      <c r="AD305" s="43">
        <v>2.7265357761916312E-2</v>
      </c>
      <c r="AE305" s="44">
        <v>0</v>
      </c>
      <c r="AF305" s="10">
        <v>0</v>
      </c>
      <c r="AG305" s="10">
        <v>4415.8599000000004</v>
      </c>
      <c r="AH305" s="12">
        <v>2.7265357761916312E-2</v>
      </c>
      <c r="AI305" s="10">
        <v>0</v>
      </c>
      <c r="AJ305" s="10">
        <v>0</v>
      </c>
      <c r="AK305" s="5" t="s">
        <v>29</v>
      </c>
      <c r="AL305" s="5" t="s">
        <v>29</v>
      </c>
      <c r="AM305" s="4" t="s">
        <v>143</v>
      </c>
    </row>
    <row r="306" spans="1:39" x14ac:dyDescent="0.35">
      <c r="A306" s="5" t="s">
        <v>108</v>
      </c>
      <c r="B306" s="9" t="s">
        <v>126</v>
      </c>
      <c r="C306" s="5" t="s">
        <v>113</v>
      </c>
      <c r="D306" s="9" t="s">
        <v>126</v>
      </c>
      <c r="E306" s="16">
        <v>0</v>
      </c>
      <c r="F306" s="24">
        <v>0</v>
      </c>
      <c r="G306" s="53">
        <v>7</v>
      </c>
      <c r="H306" s="10">
        <v>-7</v>
      </c>
      <c r="I306" s="10">
        <v>5.1536626901370868</v>
      </c>
      <c r="J306" s="10">
        <v>0</v>
      </c>
      <c r="K306" s="10">
        <v>3.5320754716981133</v>
      </c>
      <c r="L306" s="10">
        <v>1.6215872184389732</v>
      </c>
      <c r="M306" s="10">
        <v>0</v>
      </c>
      <c r="N306" s="11">
        <v>0</v>
      </c>
      <c r="O306" s="12">
        <v>1.7999999999999999E-2</v>
      </c>
      <c r="P306" s="11">
        <v>4.4699999999999997E-2</v>
      </c>
      <c r="Q306" s="35">
        <v>-12.153662690137086</v>
      </c>
      <c r="R306" s="12">
        <v>1.7362375271624408</v>
      </c>
      <c r="S306" s="10">
        <v>0</v>
      </c>
      <c r="T306" s="10">
        <v>0</v>
      </c>
      <c r="U306" s="22">
        <v>1</v>
      </c>
      <c r="V306" s="10">
        <v>6</v>
      </c>
      <c r="W306" s="10">
        <v>0</v>
      </c>
      <c r="X306" s="40">
        <v>12.966673093072748</v>
      </c>
      <c r="Y306" s="39">
        <v>2.1611121821787913</v>
      </c>
      <c r="Z306" s="15">
        <v>6.2699999999999992E-2</v>
      </c>
      <c r="AA306" s="10">
        <v>5.1536626901370868</v>
      </c>
      <c r="AB306" s="10">
        <v>411.03867999999994</v>
      </c>
      <c r="AC306" s="43">
        <v>0</v>
      </c>
      <c r="AD306" s="43">
        <v>0</v>
      </c>
      <c r="AE306" s="44">
        <v>722.89156626506031</v>
      </c>
      <c r="AF306" s="10">
        <v>898.695652173913</v>
      </c>
      <c r="AG306" s="10">
        <v>4415.8599000000004</v>
      </c>
      <c r="AH306" s="12">
        <v>0</v>
      </c>
      <c r="AI306" s="10">
        <v>3532.0754716981132</v>
      </c>
      <c r="AJ306" s="10">
        <v>1621.5872184389732</v>
      </c>
      <c r="AK306" s="5" t="s">
        <v>113</v>
      </c>
      <c r="AL306" s="5" t="s">
        <v>113</v>
      </c>
      <c r="AM306" s="4" t="s">
        <v>143</v>
      </c>
    </row>
    <row r="307" spans="1:39" x14ac:dyDescent="0.35">
      <c r="A307" s="5" t="s">
        <v>108</v>
      </c>
      <c r="B307" s="9" t="s">
        <v>129</v>
      </c>
      <c r="C307" s="5" t="s">
        <v>22</v>
      </c>
      <c r="D307" s="9" t="s">
        <v>129</v>
      </c>
      <c r="E307" s="16">
        <v>0</v>
      </c>
      <c r="F307" s="24">
        <v>0</v>
      </c>
      <c r="G307" s="53">
        <v>0</v>
      </c>
      <c r="H307" s="10">
        <v>0</v>
      </c>
      <c r="I307" s="10">
        <v>1.8236639092852496</v>
      </c>
      <c r="J307" s="10">
        <v>0</v>
      </c>
      <c r="K307" s="10">
        <v>1.1773584905660377</v>
      </c>
      <c r="L307" s="10">
        <v>0.64630541871921188</v>
      </c>
      <c r="M307" s="10">
        <v>0</v>
      </c>
      <c r="N307" s="11">
        <v>0.08</v>
      </c>
      <c r="O307" s="12">
        <v>1.7999999999999999E-2</v>
      </c>
      <c r="P307" s="11">
        <v>4.4699999999999997E-2</v>
      </c>
      <c r="Q307" s="35">
        <v>-1.8236639092852496</v>
      </c>
      <c r="R307" s="12">
        <v>0</v>
      </c>
      <c r="S307" s="10">
        <v>0</v>
      </c>
      <c r="T307" s="10">
        <v>0</v>
      </c>
      <c r="U307" s="22">
        <v>1</v>
      </c>
      <c r="V307" s="10">
        <v>2</v>
      </c>
      <c r="W307" s="10">
        <v>0</v>
      </c>
      <c r="X307" s="40">
        <v>2.1272179042170181</v>
      </c>
      <c r="Y307" s="39">
        <v>1.063608952108509</v>
      </c>
      <c r="Z307" s="15">
        <v>0.14269999999999999</v>
      </c>
      <c r="AA307" s="10">
        <v>1.8236639092852496</v>
      </c>
      <c r="AB307" s="10">
        <v>2191.72136</v>
      </c>
      <c r="AC307" s="43">
        <v>0</v>
      </c>
      <c r="AD307" s="43">
        <v>0</v>
      </c>
      <c r="AE307" s="44">
        <v>246.30541871921181</v>
      </c>
      <c r="AF307" s="10">
        <v>400</v>
      </c>
      <c r="AG307" s="10">
        <v>4415.8599000000004</v>
      </c>
      <c r="AH307" s="12">
        <v>0</v>
      </c>
      <c r="AI307" s="10">
        <v>1177.3584905660377</v>
      </c>
      <c r="AJ307" s="10">
        <v>646.30541871921184</v>
      </c>
      <c r="AK307" s="5" t="s">
        <v>22</v>
      </c>
      <c r="AL307" s="5" t="s">
        <v>22</v>
      </c>
      <c r="AM307" s="4" t="s">
        <v>143</v>
      </c>
    </row>
    <row r="308" spans="1:39" x14ac:dyDescent="0.35">
      <c r="A308" s="5" t="s">
        <v>108</v>
      </c>
      <c r="B308" s="9" t="s">
        <v>138</v>
      </c>
      <c r="C308" s="5" t="s">
        <v>29</v>
      </c>
      <c r="D308" s="9" t="s">
        <v>138</v>
      </c>
      <c r="E308" s="16">
        <v>0</v>
      </c>
      <c r="F308" s="24">
        <v>0</v>
      </c>
      <c r="G308" s="53">
        <v>0</v>
      </c>
      <c r="H308" s="10">
        <v>0</v>
      </c>
      <c r="I308" s="10">
        <v>0</v>
      </c>
      <c r="J308" s="10">
        <v>0</v>
      </c>
      <c r="K308" s="10">
        <v>0</v>
      </c>
      <c r="L308" s="10">
        <v>0</v>
      </c>
      <c r="M308" s="10">
        <v>0</v>
      </c>
      <c r="N308" s="11">
        <v>0</v>
      </c>
      <c r="O308" s="12">
        <v>1.7999999999999999E-2</v>
      </c>
      <c r="P308" s="11">
        <v>4.4699999999999997E-2</v>
      </c>
      <c r="Q308" s="35">
        <v>0</v>
      </c>
      <c r="R308" s="12">
        <v>0</v>
      </c>
      <c r="S308" s="10">
        <v>0</v>
      </c>
      <c r="T308" s="10">
        <v>0</v>
      </c>
      <c r="U308" s="22">
        <v>1</v>
      </c>
      <c r="V308" s="10">
        <v>0</v>
      </c>
      <c r="W308" s="10">
        <v>0</v>
      </c>
      <c r="X308" s="40">
        <v>0</v>
      </c>
      <c r="Y308" s="39">
        <v>0</v>
      </c>
      <c r="Z308" s="15">
        <v>6.2699999999999992E-2</v>
      </c>
      <c r="AA308" s="10">
        <v>0</v>
      </c>
      <c r="AB308" s="10">
        <v>1185.3776000000005</v>
      </c>
      <c r="AC308" s="43">
        <v>0</v>
      </c>
      <c r="AD308" s="43">
        <v>0</v>
      </c>
      <c r="AE308" s="44">
        <v>0</v>
      </c>
      <c r="AF308" s="10">
        <v>0</v>
      </c>
      <c r="AG308" s="10">
        <v>4415.8599000000004</v>
      </c>
      <c r="AH308" s="12">
        <v>0</v>
      </c>
      <c r="AI308" s="10">
        <v>0</v>
      </c>
      <c r="AJ308" s="10">
        <v>0</v>
      </c>
      <c r="AK308" s="5" t="s">
        <v>29</v>
      </c>
      <c r="AL308" s="5" t="s">
        <v>29</v>
      </c>
      <c r="AM308" s="4" t="s">
        <v>143</v>
      </c>
    </row>
    <row r="309" spans="1:39" x14ac:dyDescent="0.35">
      <c r="A309" s="5" t="s">
        <v>108</v>
      </c>
      <c r="B309" s="9" t="s">
        <v>139</v>
      </c>
      <c r="C309" s="5" t="s">
        <v>128</v>
      </c>
      <c r="D309" s="9" t="s">
        <v>139</v>
      </c>
      <c r="E309" s="16">
        <v>0.5213236763580984</v>
      </c>
      <c r="F309" s="24">
        <v>14.511100000000001</v>
      </c>
      <c r="G309" s="53">
        <v>0</v>
      </c>
      <c r="H309" s="10">
        <v>14.511100000000001</v>
      </c>
      <c r="I309" s="10">
        <v>9.142452583704074</v>
      </c>
      <c r="J309" s="10">
        <v>7.564980000000002</v>
      </c>
      <c r="K309" s="10">
        <v>0.58867924528301885</v>
      </c>
      <c r="L309" s="10">
        <v>7.8947368421052627E-2</v>
      </c>
      <c r="M309" s="10">
        <v>0.90984596999999989</v>
      </c>
      <c r="N309" s="11">
        <v>0</v>
      </c>
      <c r="O309" s="12">
        <v>1.7999999999999999E-2</v>
      </c>
      <c r="P309" s="11">
        <v>4.4699999999999997E-2</v>
      </c>
      <c r="Q309" s="35">
        <v>5.3686474162959268</v>
      </c>
      <c r="R309" s="12">
        <v>0.36996832881696951</v>
      </c>
      <c r="S309" s="10">
        <v>0</v>
      </c>
      <c r="T309" s="10">
        <v>0</v>
      </c>
      <c r="U309" s="22">
        <v>1</v>
      </c>
      <c r="V309" s="10">
        <v>1</v>
      </c>
      <c r="W309" s="10">
        <v>0</v>
      </c>
      <c r="X309" s="40">
        <v>1.6049630129401455</v>
      </c>
      <c r="Y309" s="39">
        <v>1.6049630129401455</v>
      </c>
      <c r="Z309" s="15">
        <v>0.58402367635809838</v>
      </c>
      <c r="AA309" s="10">
        <v>0.6676266137040715</v>
      </c>
      <c r="AB309" s="10">
        <v>627.72225999999978</v>
      </c>
      <c r="AC309" s="43">
        <v>2.3117070916044948E-2</v>
      </c>
      <c r="AD309" s="43">
        <v>3.2861323340443839E-3</v>
      </c>
      <c r="AE309" s="44">
        <v>78.94736842105263</v>
      </c>
      <c r="AF309" s="10">
        <v>0</v>
      </c>
      <c r="AG309" s="10">
        <v>4415.8599000000004</v>
      </c>
      <c r="AH309" s="12">
        <v>3.2861323340443839E-3</v>
      </c>
      <c r="AI309" s="10">
        <v>588.67924528301887</v>
      </c>
      <c r="AJ309" s="10">
        <v>78.94736842105263</v>
      </c>
      <c r="AK309" s="5" t="s">
        <v>128</v>
      </c>
      <c r="AL309" s="5" t="s">
        <v>128</v>
      </c>
      <c r="AM309" s="4" t="s">
        <v>143</v>
      </c>
    </row>
    <row r="310" spans="1:39" x14ac:dyDescent="0.35">
      <c r="A310" s="5" t="s">
        <v>108</v>
      </c>
      <c r="B310" s="9" t="s">
        <v>34</v>
      </c>
      <c r="C310" s="5" t="s">
        <v>22</v>
      </c>
      <c r="D310" s="9" t="s">
        <v>140</v>
      </c>
      <c r="E310" s="16">
        <v>0.51735995331777263</v>
      </c>
      <c r="F310" s="24">
        <v>47.984000000000009</v>
      </c>
      <c r="G310" s="53">
        <v>0</v>
      </c>
      <c r="H310" s="10">
        <v>47.984000000000009</v>
      </c>
      <c r="I310" s="10">
        <v>27.833596800000006</v>
      </c>
      <c r="J310" s="10">
        <v>24.825000000000006</v>
      </c>
      <c r="K310" s="10">
        <v>0</v>
      </c>
      <c r="L310" s="10">
        <v>0</v>
      </c>
      <c r="M310" s="10">
        <v>3.0085968000000003</v>
      </c>
      <c r="N310" s="11">
        <v>0</v>
      </c>
      <c r="O310" s="12">
        <v>1.7999999999999999E-2</v>
      </c>
      <c r="P310" s="11">
        <v>4.4699999999999997E-2</v>
      </c>
      <c r="Q310" s="35">
        <v>20.150403200000003</v>
      </c>
      <c r="R310" s="12">
        <v>0.4199400466822274</v>
      </c>
      <c r="S310" s="10">
        <v>0</v>
      </c>
      <c r="T310" s="10">
        <v>0</v>
      </c>
      <c r="U310" s="22">
        <v>1</v>
      </c>
      <c r="V310" s="10">
        <v>0</v>
      </c>
      <c r="W310" s="10">
        <v>0</v>
      </c>
      <c r="X310" s="40">
        <v>0</v>
      </c>
      <c r="Y310" s="39">
        <v>0</v>
      </c>
      <c r="Z310" s="15">
        <v>0.5800599533177726</v>
      </c>
      <c r="AA310" s="10">
        <v>0</v>
      </c>
      <c r="AB310" s="10">
        <v>2191.72136</v>
      </c>
      <c r="AC310" s="43">
        <v>2.1893293954118331E-2</v>
      </c>
      <c r="AD310" s="43">
        <v>1.0866286767838809E-2</v>
      </c>
      <c r="AE310" s="44">
        <v>0</v>
      </c>
      <c r="AF310" s="10">
        <v>0</v>
      </c>
      <c r="AG310" s="10">
        <v>4415.8599000000004</v>
      </c>
      <c r="AH310" s="12">
        <v>1.0866286767838809E-2</v>
      </c>
      <c r="AI310" s="10">
        <v>0</v>
      </c>
      <c r="AJ310" s="10">
        <v>0</v>
      </c>
      <c r="AK310" s="5" t="s">
        <v>22</v>
      </c>
      <c r="AL310" s="5" t="s">
        <v>29</v>
      </c>
      <c r="AM310" s="4" t="s">
        <v>143</v>
      </c>
    </row>
    <row r="311" spans="1:39" x14ac:dyDescent="0.35">
      <c r="A311" s="5" t="s">
        <v>108</v>
      </c>
      <c r="B311" s="9" t="s">
        <v>141</v>
      </c>
      <c r="C311" s="5" t="s">
        <v>22</v>
      </c>
      <c r="D311" s="9" t="s">
        <v>141</v>
      </c>
      <c r="E311" s="16">
        <v>0</v>
      </c>
      <c r="F311" s="24">
        <v>0</v>
      </c>
      <c r="G311" s="53">
        <v>0</v>
      </c>
      <c r="H311" s="10">
        <v>0</v>
      </c>
      <c r="I311" s="10">
        <v>0.71183195464262472</v>
      </c>
      <c r="J311" s="10">
        <v>0</v>
      </c>
      <c r="K311" s="10">
        <v>0.58867924528301885</v>
      </c>
      <c r="L311" s="10">
        <v>0.12315270935960591</v>
      </c>
      <c r="M311" s="10">
        <v>0</v>
      </c>
      <c r="N311" s="11">
        <v>0</v>
      </c>
      <c r="O311" s="12">
        <v>1.7999999999999999E-2</v>
      </c>
      <c r="P311" s="11">
        <v>4.4699999999999997E-2</v>
      </c>
      <c r="Q311" s="35">
        <v>-0.71183195464262472</v>
      </c>
      <c r="R311" s="12">
        <v>0</v>
      </c>
      <c r="S311" s="10">
        <v>0</v>
      </c>
      <c r="T311" s="10">
        <v>0</v>
      </c>
      <c r="U311" s="22">
        <v>1</v>
      </c>
      <c r="V311" s="10">
        <v>1</v>
      </c>
      <c r="W311" s="10">
        <v>0</v>
      </c>
      <c r="X311" s="40">
        <v>0.75944943416475486</v>
      </c>
      <c r="Y311" s="39">
        <v>0.75944943416475486</v>
      </c>
      <c r="Z311" s="15">
        <v>6.2699999999999992E-2</v>
      </c>
      <c r="AA311" s="10">
        <v>0.71183195464262472</v>
      </c>
      <c r="AB311" s="10">
        <v>2191.72136</v>
      </c>
      <c r="AC311" s="43">
        <v>0</v>
      </c>
      <c r="AD311" s="43">
        <v>0</v>
      </c>
      <c r="AE311" s="44">
        <v>123.15270935960591</v>
      </c>
      <c r="AF311" s="10">
        <v>0</v>
      </c>
      <c r="AG311" s="10">
        <v>4415.8599000000004</v>
      </c>
      <c r="AH311" s="12">
        <v>0</v>
      </c>
      <c r="AI311" s="10">
        <v>588.67924528301887</v>
      </c>
      <c r="AJ311" s="10">
        <v>123.15270935960591</v>
      </c>
      <c r="AK311" s="5" t="s">
        <v>22</v>
      </c>
      <c r="AL311" s="5" t="s">
        <v>22</v>
      </c>
      <c r="AM311" s="4" t="s">
        <v>143</v>
      </c>
    </row>
    <row r="312" spans="1:39" x14ac:dyDescent="0.35">
      <c r="A312" s="5" t="s">
        <v>108</v>
      </c>
      <c r="B312" s="9" t="s">
        <v>142</v>
      </c>
      <c r="C312" s="5" t="s">
        <v>128</v>
      </c>
      <c r="D312" s="9" t="s">
        <v>142</v>
      </c>
      <c r="E312" s="16">
        <v>0.57765149371158175</v>
      </c>
      <c r="F312" s="24">
        <v>3.5334799999999995</v>
      </c>
      <c r="G312" s="53">
        <v>0</v>
      </c>
      <c r="H312" s="10">
        <v>3.5334799999999995</v>
      </c>
      <c r="I312" s="10">
        <v>2.2626691959999996</v>
      </c>
      <c r="J312" s="10">
        <v>2.0411199999999998</v>
      </c>
      <c r="K312" s="10">
        <v>0</v>
      </c>
      <c r="L312" s="10">
        <v>0</v>
      </c>
      <c r="M312" s="10">
        <v>0.22154919599999995</v>
      </c>
      <c r="N312" s="11">
        <v>0</v>
      </c>
      <c r="O312" s="12">
        <v>1.7999999999999999E-2</v>
      </c>
      <c r="P312" s="11">
        <v>4.4699999999999997E-2</v>
      </c>
      <c r="Q312" s="35">
        <v>1.2708108039999999</v>
      </c>
      <c r="R312" s="12">
        <v>0.35964850628841821</v>
      </c>
      <c r="S312" s="10">
        <v>0</v>
      </c>
      <c r="T312" s="10">
        <v>0</v>
      </c>
      <c r="U312" s="22">
        <v>1</v>
      </c>
      <c r="V312" s="10">
        <v>0</v>
      </c>
      <c r="W312" s="10">
        <v>0</v>
      </c>
      <c r="X312" s="40">
        <v>0</v>
      </c>
      <c r="Y312" s="39">
        <v>0</v>
      </c>
      <c r="Z312" s="15">
        <v>0.64035149371158173</v>
      </c>
      <c r="AA312" s="10">
        <v>0</v>
      </c>
      <c r="AB312" s="10">
        <v>627.72225999999978</v>
      </c>
      <c r="AC312" s="43">
        <v>5.6290500196695282E-3</v>
      </c>
      <c r="AD312" s="43">
        <v>8.0017937163269135E-4</v>
      </c>
      <c r="AE312" s="44">
        <v>0</v>
      </c>
      <c r="AF312" s="10">
        <v>0</v>
      </c>
      <c r="AG312" s="10">
        <v>4415.8599000000004</v>
      </c>
      <c r="AH312" s="12">
        <v>8.0017937163269135E-4</v>
      </c>
      <c r="AI312" s="10">
        <v>0</v>
      </c>
      <c r="AJ312" s="10">
        <v>0</v>
      </c>
      <c r="AK312" s="5" t="s">
        <v>128</v>
      </c>
      <c r="AL312" s="5" t="s">
        <v>128</v>
      </c>
      <c r="AM312" s="4" t="s">
        <v>143</v>
      </c>
    </row>
    <row r="313" spans="1:39" x14ac:dyDescent="0.35">
      <c r="A313" s="5" t="s">
        <v>108</v>
      </c>
      <c r="B313" s="9" t="s">
        <v>31</v>
      </c>
      <c r="C313" s="5" t="s">
        <v>128</v>
      </c>
      <c r="D313" s="9" t="s">
        <v>32</v>
      </c>
      <c r="E313" s="16">
        <v>0.5627585020852145</v>
      </c>
      <c r="F313" s="24">
        <v>46.517999999999994</v>
      </c>
      <c r="G313" s="53">
        <v>0</v>
      </c>
      <c r="H313" s="10">
        <v>46.517999999999994</v>
      </c>
      <c r="I313" s="10">
        <v>42.179385134282249</v>
      </c>
      <c r="J313" s="10">
        <v>26.178400000000003</v>
      </c>
      <c r="K313" s="10">
        <v>8.7924528301886777</v>
      </c>
      <c r="L313" s="10">
        <v>4.0453083040935676</v>
      </c>
      <c r="M313" s="10">
        <v>3.1632239999999996</v>
      </c>
      <c r="N313" s="11">
        <v>1.4999999999999999E-2</v>
      </c>
      <c r="O313" s="12">
        <v>1.6E-2</v>
      </c>
      <c r="P313" s="11">
        <v>3.6999999999999998E-2</v>
      </c>
      <c r="Q313" s="35">
        <v>4.3386148657177444</v>
      </c>
      <c r="R313" s="12">
        <v>9.326744197338116E-2</v>
      </c>
      <c r="S313" s="10">
        <v>0</v>
      </c>
      <c r="T313" s="10">
        <v>0</v>
      </c>
      <c r="U313" s="22">
        <v>1</v>
      </c>
      <c r="V313" s="10">
        <v>15</v>
      </c>
      <c r="W313" s="10">
        <v>0.69776999999999989</v>
      </c>
      <c r="X313" s="40">
        <v>34.767926158844084</v>
      </c>
      <c r="Y313" s="39">
        <v>2.317861743922939</v>
      </c>
      <c r="Z313" s="15">
        <v>0.63075850208521445</v>
      </c>
      <c r="AA313" s="10">
        <v>12.837761134282246</v>
      </c>
      <c r="AB313" s="10">
        <v>409.85919999999987</v>
      </c>
      <c r="AC313" s="43">
        <v>0.11349751329236969</v>
      </c>
      <c r="AD313" s="43">
        <v>8.7952006058618498E-3</v>
      </c>
      <c r="AE313" s="44">
        <v>1184.2105263157894</v>
      </c>
      <c r="AF313" s="10">
        <v>2861.097777777778</v>
      </c>
      <c r="AG313" s="10">
        <v>5289.020919999999</v>
      </c>
      <c r="AH313" s="12">
        <v>8.7952006058618498E-3</v>
      </c>
      <c r="AI313" s="10">
        <v>8792.4528301886785</v>
      </c>
      <c r="AJ313" s="10">
        <v>4045.3083040935671</v>
      </c>
      <c r="AK313" s="5" t="s">
        <v>128</v>
      </c>
      <c r="AL313" s="5" t="s">
        <v>128</v>
      </c>
      <c r="AM313" s="4" t="s">
        <v>145</v>
      </c>
    </row>
    <row r="314" spans="1:39" x14ac:dyDescent="0.35">
      <c r="A314" s="5" t="s">
        <v>108</v>
      </c>
      <c r="B314" s="9" t="s">
        <v>49</v>
      </c>
      <c r="C314" s="5" t="s">
        <v>128</v>
      </c>
      <c r="D314" s="9" t="s">
        <v>49</v>
      </c>
      <c r="E314" s="16">
        <v>0.5017096732111026</v>
      </c>
      <c r="F314" s="24">
        <v>68.37563999999999</v>
      </c>
      <c r="G314" s="53">
        <v>0</v>
      </c>
      <c r="H314" s="10">
        <v>68.37563999999999</v>
      </c>
      <c r="I314" s="10">
        <v>58.52634152867261</v>
      </c>
      <c r="J314" s="10">
        <v>34.304719999999989</v>
      </c>
      <c r="K314" s="10">
        <v>11.723270440251572</v>
      </c>
      <c r="L314" s="10">
        <v>4.0881473684210521</v>
      </c>
      <c r="M314" s="10">
        <v>8.4102037199999984</v>
      </c>
      <c r="N314" s="11">
        <v>7.0000000000000007E-2</v>
      </c>
      <c r="O314" s="12">
        <v>1.6E-2</v>
      </c>
      <c r="P314" s="11">
        <v>3.6999999999999998E-2</v>
      </c>
      <c r="Q314" s="35">
        <v>9.8492984713273799</v>
      </c>
      <c r="R314" s="12">
        <v>0.14404689259694506</v>
      </c>
      <c r="S314" s="10">
        <v>0</v>
      </c>
      <c r="T314" s="10">
        <v>0</v>
      </c>
      <c r="U314" s="22">
        <v>1</v>
      </c>
      <c r="V314" s="10">
        <v>20</v>
      </c>
      <c r="W314" s="10">
        <v>4.7862947999999994</v>
      </c>
      <c r="X314" s="40">
        <v>42.131162676001026</v>
      </c>
      <c r="Y314" s="39">
        <v>2.1065581338000512</v>
      </c>
      <c r="Z314" s="15">
        <v>0.6247096732111026</v>
      </c>
      <c r="AA314" s="10">
        <v>15.811417808672623</v>
      </c>
      <c r="AB314" s="10">
        <v>409.85919999999987</v>
      </c>
      <c r="AC314" s="43">
        <v>0.16682714454134495</v>
      </c>
      <c r="AD314" s="43">
        <v>1.2927844497918908E-2</v>
      </c>
      <c r="AE314" s="44">
        <v>1578.9473684210525</v>
      </c>
      <c r="AF314" s="10">
        <v>2509.1999999999994</v>
      </c>
      <c r="AG314" s="10">
        <v>5289.020919999999</v>
      </c>
      <c r="AH314" s="12">
        <v>1.2927844497918908E-2</v>
      </c>
      <c r="AI314" s="10">
        <v>11723.270440251572</v>
      </c>
      <c r="AJ314" s="10">
        <v>4088.1473684210519</v>
      </c>
      <c r="AK314" s="5" t="s">
        <v>128</v>
      </c>
      <c r="AL314" s="5" t="s">
        <v>128</v>
      </c>
      <c r="AM314" s="4" t="s">
        <v>145</v>
      </c>
    </row>
    <row r="315" spans="1:39" x14ac:dyDescent="0.35">
      <c r="A315" s="5" t="s">
        <v>108</v>
      </c>
      <c r="B315" s="9" t="s">
        <v>19</v>
      </c>
      <c r="C315" s="5" t="s">
        <v>128</v>
      </c>
      <c r="D315" s="9" t="s">
        <v>19</v>
      </c>
      <c r="E315" s="16">
        <v>0.47596050954228658</v>
      </c>
      <c r="F315" s="24">
        <v>4.2987599999999997</v>
      </c>
      <c r="G315" s="53">
        <v>0</v>
      </c>
      <c r="H315" s="10">
        <v>4.2987599999999997</v>
      </c>
      <c r="I315" s="10">
        <v>2.9389851704336309</v>
      </c>
      <c r="J315" s="10">
        <v>2.0460399999999996</v>
      </c>
      <c r="K315" s="10">
        <v>0.5861635220125786</v>
      </c>
      <c r="L315" s="10">
        <v>7.8947368421052627E-2</v>
      </c>
      <c r="M315" s="10">
        <v>0.22783427999999997</v>
      </c>
      <c r="N315" s="11">
        <v>0</v>
      </c>
      <c r="O315" s="12">
        <v>1.6E-2</v>
      </c>
      <c r="P315" s="11">
        <v>3.6999999999999998E-2</v>
      </c>
      <c r="Q315" s="35">
        <v>1.3597748295663687</v>
      </c>
      <c r="R315" s="12">
        <v>0.31631792181149188</v>
      </c>
      <c r="S315" s="10">
        <v>0</v>
      </c>
      <c r="T315" s="10">
        <v>0</v>
      </c>
      <c r="U315" s="22">
        <v>1</v>
      </c>
      <c r="V315" s="10">
        <v>1</v>
      </c>
      <c r="W315" s="10">
        <v>0</v>
      </c>
      <c r="X315" s="40">
        <v>1.4120066446813979</v>
      </c>
      <c r="Y315" s="39">
        <v>1.4120066446813979</v>
      </c>
      <c r="Z315" s="15">
        <v>0.52896050954228657</v>
      </c>
      <c r="AA315" s="10">
        <v>0.66511089043363125</v>
      </c>
      <c r="AB315" s="10">
        <v>409.85919999999987</v>
      </c>
      <c r="AC315" s="43">
        <v>1.0488382351793009E-2</v>
      </c>
      <c r="AD315" s="43">
        <v>8.1277046640987772E-4</v>
      </c>
      <c r="AE315" s="44">
        <v>78.94736842105263</v>
      </c>
      <c r="AF315" s="10">
        <v>0</v>
      </c>
      <c r="AG315" s="10">
        <v>5289.020919999999</v>
      </c>
      <c r="AH315" s="12">
        <v>8.1277046640987772E-4</v>
      </c>
      <c r="AI315" s="10">
        <v>586.1635220125786</v>
      </c>
      <c r="AJ315" s="10">
        <v>78.94736842105263</v>
      </c>
      <c r="AK315" s="5" t="s">
        <v>128</v>
      </c>
      <c r="AL315" s="5" t="s">
        <v>128</v>
      </c>
      <c r="AM315" s="4" t="s">
        <v>145</v>
      </c>
    </row>
    <row r="316" spans="1:39" x14ac:dyDescent="0.35">
      <c r="A316" s="5" t="s">
        <v>108</v>
      </c>
      <c r="B316" s="9" t="s">
        <v>120</v>
      </c>
      <c r="C316" s="5" t="s">
        <v>128</v>
      </c>
      <c r="D316" s="9" t="s">
        <v>120</v>
      </c>
      <c r="E316" s="16">
        <v>0.54025239522221746</v>
      </c>
      <c r="F316" s="24">
        <v>4.7385999999999999</v>
      </c>
      <c r="G316" s="53">
        <v>0</v>
      </c>
      <c r="H316" s="10">
        <v>4.7385999999999999</v>
      </c>
      <c r="I316" s="10">
        <v>4.8156955808672626</v>
      </c>
      <c r="J316" s="10">
        <v>2.5600399999999994</v>
      </c>
      <c r="K316" s="10">
        <v>1.1723270440251572</v>
      </c>
      <c r="L316" s="10">
        <v>0.45309473684210527</v>
      </c>
      <c r="M316" s="10">
        <v>0.63023380000000007</v>
      </c>
      <c r="N316" s="11">
        <v>0.08</v>
      </c>
      <c r="O316" s="12">
        <v>1.6E-2</v>
      </c>
      <c r="P316" s="11">
        <v>3.6999999999999998E-2</v>
      </c>
      <c r="Q316" s="35">
        <v>-7.7095580867262647E-2</v>
      </c>
      <c r="R316" s="12">
        <v>-1.6269695873731196E-2</v>
      </c>
      <c r="S316" s="10">
        <v>0</v>
      </c>
      <c r="T316" s="10">
        <v>0</v>
      </c>
      <c r="U316" s="22">
        <v>1</v>
      </c>
      <c r="V316" s="10">
        <v>2</v>
      </c>
      <c r="W316" s="10">
        <v>0.37908799999999998</v>
      </c>
      <c r="X316" s="40">
        <v>4.9745484193302474</v>
      </c>
      <c r="Y316" s="39">
        <v>2.4872742096651237</v>
      </c>
      <c r="Z316" s="15">
        <v>0.67325239522221747</v>
      </c>
      <c r="AA316" s="10">
        <v>1.6254217808672624</v>
      </c>
      <c r="AB316" s="10">
        <v>409.85919999999987</v>
      </c>
      <c r="AC316" s="43">
        <v>1.1561531374676966E-2</v>
      </c>
      <c r="AD316" s="43">
        <v>8.9593141560120751E-4</v>
      </c>
      <c r="AE316" s="44">
        <v>157.89473684210526</v>
      </c>
      <c r="AF316" s="10">
        <v>295.2</v>
      </c>
      <c r="AG316" s="10">
        <v>5289.020919999999</v>
      </c>
      <c r="AH316" s="12">
        <v>8.9593141560120751E-4</v>
      </c>
      <c r="AI316" s="10">
        <v>1172.3270440251572</v>
      </c>
      <c r="AJ316" s="10">
        <v>453.09473684210525</v>
      </c>
      <c r="AK316" s="5" t="s">
        <v>128</v>
      </c>
      <c r="AL316" s="5" t="s">
        <v>128</v>
      </c>
      <c r="AM316" s="4" t="s">
        <v>145</v>
      </c>
    </row>
    <row r="317" spans="1:39" x14ac:dyDescent="0.35">
      <c r="A317" s="5" t="s">
        <v>108</v>
      </c>
      <c r="B317" s="9" t="s">
        <v>50</v>
      </c>
      <c r="C317" s="5" t="s">
        <v>128</v>
      </c>
      <c r="D317" s="9" t="s">
        <v>50</v>
      </c>
      <c r="E317" s="16">
        <v>0</v>
      </c>
      <c r="F317" s="24">
        <v>0</v>
      </c>
      <c r="G317" s="53">
        <v>0</v>
      </c>
      <c r="H317" s="10">
        <v>0</v>
      </c>
      <c r="I317" s="10">
        <v>2.8505326713008934</v>
      </c>
      <c r="J317" s="10">
        <v>0</v>
      </c>
      <c r="K317" s="10">
        <v>1.7584905660377357</v>
      </c>
      <c r="L317" s="10">
        <v>1.0920421052631579</v>
      </c>
      <c r="M317" s="10">
        <v>0</v>
      </c>
      <c r="N317" s="11">
        <v>0.09</v>
      </c>
      <c r="O317" s="12">
        <v>1.6E-2</v>
      </c>
      <c r="P317" s="11">
        <v>3.6999999999999998E-2</v>
      </c>
      <c r="Q317" s="35">
        <v>-2.8505326713008934</v>
      </c>
      <c r="R317" s="12">
        <v>0</v>
      </c>
      <c r="S317" s="10">
        <v>0</v>
      </c>
      <c r="T317" s="10">
        <v>0</v>
      </c>
      <c r="U317" s="22">
        <v>1</v>
      </c>
      <c r="V317" s="10">
        <v>3</v>
      </c>
      <c r="W317" s="10">
        <v>0</v>
      </c>
      <c r="X317" s="40">
        <v>3.3261758124864569</v>
      </c>
      <c r="Y317" s="39">
        <v>1.1087252708288189</v>
      </c>
      <c r="Z317" s="15">
        <v>0.14299999999999999</v>
      </c>
      <c r="AA317" s="10">
        <v>2.8505326713008934</v>
      </c>
      <c r="AB317" s="10">
        <v>409.85919999999987</v>
      </c>
      <c r="AC317" s="43">
        <v>0</v>
      </c>
      <c r="AD317" s="43">
        <v>0</v>
      </c>
      <c r="AE317" s="44">
        <v>236.84210526315789</v>
      </c>
      <c r="AF317" s="10">
        <v>855.2</v>
      </c>
      <c r="AG317" s="10">
        <v>5289.020919999999</v>
      </c>
      <c r="AH317" s="12">
        <v>0</v>
      </c>
      <c r="AI317" s="10">
        <v>1758.4905660377358</v>
      </c>
      <c r="AJ317" s="10">
        <v>1092.042105263158</v>
      </c>
      <c r="AK317" s="5" t="s">
        <v>128</v>
      </c>
      <c r="AL317" s="5" t="s">
        <v>128</v>
      </c>
      <c r="AM317" s="4" t="s">
        <v>145</v>
      </c>
    </row>
    <row r="318" spans="1:39" x14ac:dyDescent="0.35">
      <c r="A318" s="5" t="s">
        <v>108</v>
      </c>
      <c r="B318" s="9" t="s">
        <v>20</v>
      </c>
      <c r="C318" s="5" t="s">
        <v>128</v>
      </c>
      <c r="D318" s="9" t="s">
        <v>20</v>
      </c>
      <c r="E318" s="16">
        <v>0</v>
      </c>
      <c r="F318" s="24">
        <v>0</v>
      </c>
      <c r="G318" s="53">
        <v>0</v>
      </c>
      <c r="H318" s="10">
        <v>0</v>
      </c>
      <c r="I318" s="10">
        <v>0</v>
      </c>
      <c r="J318" s="10">
        <v>0</v>
      </c>
      <c r="K318" s="10">
        <v>0</v>
      </c>
      <c r="L318" s="10">
        <v>0</v>
      </c>
      <c r="M318" s="10">
        <v>0</v>
      </c>
      <c r="N318" s="11">
        <v>0</v>
      </c>
      <c r="O318" s="12">
        <v>1.6E-2</v>
      </c>
      <c r="P318" s="11">
        <v>3.6999999999999998E-2</v>
      </c>
      <c r="Q318" s="35">
        <v>0</v>
      </c>
      <c r="R318" s="12">
        <v>0</v>
      </c>
      <c r="S318" s="10">
        <v>0</v>
      </c>
      <c r="T318" s="10">
        <v>0</v>
      </c>
      <c r="U318" s="22">
        <v>1</v>
      </c>
      <c r="V318" s="10">
        <v>0</v>
      </c>
      <c r="W318" s="10">
        <v>0</v>
      </c>
      <c r="X318" s="40">
        <v>0</v>
      </c>
      <c r="Y318" s="39">
        <v>0</v>
      </c>
      <c r="Z318" s="15">
        <v>5.2999999999999999E-2</v>
      </c>
      <c r="AA318" s="10">
        <v>0</v>
      </c>
      <c r="AB318" s="10">
        <v>409.85919999999987</v>
      </c>
      <c r="AC318" s="43">
        <v>0</v>
      </c>
      <c r="AD318" s="43">
        <v>0</v>
      </c>
      <c r="AE318" s="44">
        <v>0</v>
      </c>
      <c r="AF318" s="10">
        <v>0</v>
      </c>
      <c r="AG318" s="10">
        <v>5289.020919999999</v>
      </c>
      <c r="AH318" s="12">
        <v>0</v>
      </c>
      <c r="AI318" s="10">
        <v>0</v>
      </c>
      <c r="AJ318" s="10">
        <v>0</v>
      </c>
      <c r="AK318" s="5" t="s">
        <v>128</v>
      </c>
      <c r="AL318" s="5" t="s">
        <v>128</v>
      </c>
      <c r="AM318" s="4" t="s">
        <v>145</v>
      </c>
    </row>
    <row r="319" spans="1:39" x14ac:dyDescent="0.35">
      <c r="A319" s="5" t="s">
        <v>108</v>
      </c>
      <c r="B319" s="9" t="s">
        <v>51</v>
      </c>
      <c r="C319" s="5" t="s">
        <v>128</v>
      </c>
      <c r="D319" s="9" t="s">
        <v>51</v>
      </c>
      <c r="E319" s="16">
        <v>0.50646351147123858</v>
      </c>
      <c r="F319" s="24">
        <v>167.33811999999995</v>
      </c>
      <c r="G319" s="53">
        <v>8.0500000000000007</v>
      </c>
      <c r="H319" s="10">
        <v>159.28811999999994</v>
      </c>
      <c r="I319" s="10">
        <v>127.81004757469992</v>
      </c>
      <c r="J319" s="10">
        <v>84.750651858195468</v>
      </c>
      <c r="K319" s="10">
        <v>8.7924528301886777</v>
      </c>
      <c r="L319" s="10">
        <v>8.6642105263157898</v>
      </c>
      <c r="M319" s="10">
        <v>25.60273235999999</v>
      </c>
      <c r="N319" s="11">
        <v>0.1</v>
      </c>
      <c r="O319" s="12">
        <v>1.6E-2</v>
      </c>
      <c r="P319" s="11">
        <v>3.6999999999999998E-2</v>
      </c>
      <c r="Q319" s="35">
        <v>31.478072425300013</v>
      </c>
      <c r="R319" s="12">
        <v>0.19761720098962826</v>
      </c>
      <c r="S319" s="10">
        <v>4.0770312673434708</v>
      </c>
      <c r="T319" s="10">
        <v>4.8106193615656753E-2</v>
      </c>
      <c r="U319" s="22">
        <v>1</v>
      </c>
      <c r="V319" s="10">
        <v>15</v>
      </c>
      <c r="W319" s="10">
        <v>16.733811999999997</v>
      </c>
      <c r="X319" s="40">
        <v>74.901410614475751</v>
      </c>
      <c r="Y319" s="39">
        <v>4.993427374298383</v>
      </c>
      <c r="Z319" s="15">
        <v>0.65946351147123861</v>
      </c>
      <c r="AA319" s="10">
        <v>17.456663356504468</v>
      </c>
      <c r="AB319" s="10">
        <v>409.85919999999987</v>
      </c>
      <c r="AC319" s="43">
        <v>0.40828196609957762</v>
      </c>
      <c r="AD319" s="43">
        <v>3.1638770678184422E-2</v>
      </c>
      <c r="AE319" s="44">
        <v>1184.2105263157894</v>
      </c>
      <c r="AF319" s="10">
        <v>7480</v>
      </c>
      <c r="AG319" s="10">
        <v>5289.020919999999</v>
      </c>
      <c r="AH319" s="12">
        <v>3.1638770678184422E-2</v>
      </c>
      <c r="AI319" s="10">
        <v>8792.4528301886785</v>
      </c>
      <c r="AJ319" s="10">
        <v>8664.21052631579</v>
      </c>
      <c r="AK319" s="5" t="s">
        <v>128</v>
      </c>
      <c r="AL319" s="5" t="s">
        <v>128</v>
      </c>
      <c r="AM319" s="4" t="s">
        <v>145</v>
      </c>
    </row>
    <row r="320" spans="1:39" x14ac:dyDescent="0.35">
      <c r="A320" s="5" t="s">
        <v>108</v>
      </c>
      <c r="B320" s="9" t="s">
        <v>31</v>
      </c>
      <c r="C320" s="5" t="s">
        <v>128</v>
      </c>
      <c r="D320" s="9" t="s">
        <v>52</v>
      </c>
      <c r="E320" s="16">
        <v>0.5598142815548337</v>
      </c>
      <c r="F320" s="24">
        <v>99.560879999999955</v>
      </c>
      <c r="G320" s="53">
        <v>18.353200000000001</v>
      </c>
      <c r="H320" s="10">
        <v>81.207679999999954</v>
      </c>
      <c r="I320" s="10">
        <v>103.38941954114942</v>
      </c>
      <c r="J320" s="10">
        <v>55.735602508166984</v>
      </c>
      <c r="K320" s="10">
        <v>31.066666666666663</v>
      </c>
      <c r="L320" s="10">
        <v>9.8170105263157872</v>
      </c>
      <c r="M320" s="10">
        <v>6.770139839999997</v>
      </c>
      <c r="N320" s="11">
        <v>1.4999999999999999E-2</v>
      </c>
      <c r="O320" s="12">
        <v>1.6E-2</v>
      </c>
      <c r="P320" s="11">
        <v>3.6999999999999998E-2</v>
      </c>
      <c r="Q320" s="35">
        <v>-22.181739541149469</v>
      </c>
      <c r="R320" s="12">
        <v>-0.27314829756433728</v>
      </c>
      <c r="S320" s="10">
        <v>10.274383472232175</v>
      </c>
      <c r="T320" s="10">
        <v>0.18434148030833003</v>
      </c>
      <c r="U320" s="22">
        <v>1</v>
      </c>
      <c r="V320" s="10">
        <v>53</v>
      </c>
      <c r="W320" s="10">
        <v>1.4934131999999993</v>
      </c>
      <c r="X320" s="40">
        <v>159.15945791915109</v>
      </c>
      <c r="Y320" s="39">
        <v>3.003008639983983</v>
      </c>
      <c r="Z320" s="15">
        <v>0.62781428155483376</v>
      </c>
      <c r="AA320" s="10">
        <v>40.883677192982447</v>
      </c>
      <c r="AB320" s="10">
        <v>409.85919999999987</v>
      </c>
      <c r="AC320" s="43">
        <v>0.2429148351433858</v>
      </c>
      <c r="AD320" s="43">
        <v>1.8824066212995802E-2</v>
      </c>
      <c r="AE320" s="44">
        <v>4184.2105263157891</v>
      </c>
      <c r="AF320" s="10">
        <v>5632.7999999999984</v>
      </c>
      <c r="AG320" s="10">
        <v>5289.020919999999</v>
      </c>
      <c r="AH320" s="12">
        <v>1.8824066212995802E-2</v>
      </c>
      <c r="AI320" s="10">
        <v>31066.666666666664</v>
      </c>
      <c r="AJ320" s="10">
        <v>9817.0105263157875</v>
      </c>
      <c r="AK320" s="5" t="s">
        <v>128</v>
      </c>
      <c r="AL320" s="5" t="s">
        <v>128</v>
      </c>
      <c r="AM320" s="4" t="s">
        <v>145</v>
      </c>
    </row>
    <row r="321" spans="1:39" x14ac:dyDescent="0.35">
      <c r="A321" s="5" t="s">
        <v>108</v>
      </c>
      <c r="B321" s="9" t="s">
        <v>21</v>
      </c>
      <c r="C321" s="5" t="s">
        <v>128</v>
      </c>
      <c r="D321" s="9" t="s">
        <v>21</v>
      </c>
      <c r="E321" s="16">
        <v>0.49041347115705236</v>
      </c>
      <c r="F321" s="24">
        <v>2.3992</v>
      </c>
      <c r="G321" s="53">
        <v>0</v>
      </c>
      <c r="H321" s="10">
        <v>2.3992</v>
      </c>
      <c r="I321" s="10">
        <v>2.9339793808672625</v>
      </c>
      <c r="J321" s="10">
        <v>1.1766000000000001</v>
      </c>
      <c r="K321" s="10">
        <v>1.1723270440251572</v>
      </c>
      <c r="L321" s="10">
        <v>0.45789473684210524</v>
      </c>
      <c r="M321" s="10">
        <v>0.12715760000000001</v>
      </c>
      <c r="N321" s="11">
        <v>0</v>
      </c>
      <c r="O321" s="12">
        <v>1.6E-2</v>
      </c>
      <c r="P321" s="11">
        <v>3.6999999999999998E-2</v>
      </c>
      <c r="Q321" s="35">
        <v>-0.53477938086726251</v>
      </c>
      <c r="R321" s="12">
        <v>-0.22289904170859559</v>
      </c>
      <c r="S321" s="10">
        <v>0</v>
      </c>
      <c r="T321" s="10">
        <v>0</v>
      </c>
      <c r="U321" s="22">
        <v>1</v>
      </c>
      <c r="V321" s="10">
        <v>2</v>
      </c>
      <c r="W321" s="10">
        <v>0</v>
      </c>
      <c r="X321" s="40">
        <v>3.5704552760206623</v>
      </c>
      <c r="Y321" s="39">
        <v>1.7852276380103311</v>
      </c>
      <c r="Z321" s="15">
        <v>0.54341347115705241</v>
      </c>
      <c r="AA321" s="10">
        <v>1.6302217808672625</v>
      </c>
      <c r="AB321" s="10">
        <v>409.85919999999987</v>
      </c>
      <c r="AC321" s="43">
        <v>5.853717569350647E-3</v>
      </c>
      <c r="AD321" s="43">
        <v>4.5361892801891213E-4</v>
      </c>
      <c r="AE321" s="44">
        <v>157.89473684210526</v>
      </c>
      <c r="AF321" s="10">
        <v>300</v>
      </c>
      <c r="AG321" s="10">
        <v>5289.020919999999</v>
      </c>
      <c r="AH321" s="12">
        <v>4.5361892801891213E-4</v>
      </c>
      <c r="AI321" s="10">
        <v>1172.3270440251572</v>
      </c>
      <c r="AJ321" s="10">
        <v>457.89473684210526</v>
      </c>
      <c r="AK321" s="5" t="s">
        <v>128</v>
      </c>
      <c r="AL321" s="5" t="s">
        <v>128</v>
      </c>
      <c r="AM321" s="4" t="s">
        <v>145</v>
      </c>
    </row>
    <row r="322" spans="1:39" x14ac:dyDescent="0.35">
      <c r="A322" s="5" t="s">
        <v>108</v>
      </c>
      <c r="B322" s="9" t="s">
        <v>53</v>
      </c>
      <c r="C322" s="5" t="s">
        <v>128</v>
      </c>
      <c r="D322" s="9" t="s">
        <v>53</v>
      </c>
      <c r="E322" s="16">
        <v>0.54822008418520751</v>
      </c>
      <c r="F322" s="24">
        <v>16.630000000000003</v>
      </c>
      <c r="G322" s="53">
        <v>0</v>
      </c>
      <c r="H322" s="10">
        <v>16.630000000000003</v>
      </c>
      <c r="I322" s="10">
        <v>13.631511780867266</v>
      </c>
      <c r="J322" s="10">
        <v>9.1169000000000029</v>
      </c>
      <c r="K322" s="10">
        <v>1.1723270440251572</v>
      </c>
      <c r="L322" s="10">
        <v>0.79789473684210521</v>
      </c>
      <c r="M322" s="10">
        <v>2.5443900000000004</v>
      </c>
      <c r="N322" s="11">
        <v>0.1</v>
      </c>
      <c r="O322" s="12">
        <v>1.6E-2</v>
      </c>
      <c r="P322" s="11">
        <v>3.6999999999999998E-2</v>
      </c>
      <c r="Q322" s="35">
        <v>2.9984882191327369</v>
      </c>
      <c r="R322" s="12">
        <v>0.18030596627376647</v>
      </c>
      <c r="S322" s="10">
        <v>0</v>
      </c>
      <c r="T322" s="10">
        <v>0</v>
      </c>
      <c r="U322" s="22">
        <v>1</v>
      </c>
      <c r="V322" s="10">
        <v>2</v>
      </c>
      <c r="W322" s="10">
        <v>1.6630000000000003</v>
      </c>
      <c r="X322" s="40">
        <v>6.5942242988265729</v>
      </c>
      <c r="Y322" s="39">
        <v>3.2971121494132865</v>
      </c>
      <c r="Z322" s="15">
        <v>0.70122008418520754</v>
      </c>
      <c r="AA322" s="10">
        <v>1.9702217808672624</v>
      </c>
      <c r="AB322" s="10">
        <v>409.85919999999987</v>
      </c>
      <c r="AC322" s="43">
        <v>4.0574909627501363E-2</v>
      </c>
      <c r="AD322" s="43">
        <v>3.144249238477205E-3</v>
      </c>
      <c r="AE322" s="44">
        <v>157.89473684210526</v>
      </c>
      <c r="AF322" s="10">
        <v>640</v>
      </c>
      <c r="AG322" s="10">
        <v>5289.020919999999</v>
      </c>
      <c r="AH322" s="12">
        <v>3.144249238477205E-3</v>
      </c>
      <c r="AI322" s="10">
        <v>1172.3270440251572</v>
      </c>
      <c r="AJ322" s="10">
        <v>797.8947368421052</v>
      </c>
      <c r="AK322" s="5" t="s">
        <v>128</v>
      </c>
      <c r="AL322" s="5" t="s">
        <v>128</v>
      </c>
      <c r="AM322" s="4" t="s">
        <v>145</v>
      </c>
    </row>
    <row r="323" spans="1:39" x14ac:dyDescent="0.35">
      <c r="A323" s="5" t="s">
        <v>108</v>
      </c>
      <c r="B323" s="9" t="s">
        <v>45</v>
      </c>
      <c r="C323" s="5" t="s">
        <v>22</v>
      </c>
      <c r="D323" s="9" t="s">
        <v>45</v>
      </c>
      <c r="E323" s="16">
        <v>0.45939323309853386</v>
      </c>
      <c r="F323" s="24">
        <v>626.75759999999968</v>
      </c>
      <c r="G323" s="53">
        <v>50.321109999999997</v>
      </c>
      <c r="H323" s="10">
        <v>576.43648999999971</v>
      </c>
      <c r="I323" s="10">
        <v>426.28667147183455</v>
      </c>
      <c r="J323" s="10">
        <v>287.92820023307752</v>
      </c>
      <c r="K323" s="10">
        <v>20.515723270440251</v>
      </c>
      <c r="L323" s="10">
        <v>40.751563168316835</v>
      </c>
      <c r="M323" s="10">
        <v>77.091184799999965</v>
      </c>
      <c r="N323" s="11">
        <v>7.0000000000000007E-2</v>
      </c>
      <c r="O323" s="12">
        <v>1.6E-2</v>
      </c>
      <c r="P323" s="11">
        <v>3.6999999999999998E-2</v>
      </c>
      <c r="Q323" s="35">
        <v>150.14981852816516</v>
      </c>
      <c r="R323" s="12">
        <v>0.26047937827142975</v>
      </c>
      <c r="S323" s="10">
        <v>23.11717741600696</v>
      </c>
      <c r="T323" s="10">
        <v>8.0287993316714504E-2</v>
      </c>
      <c r="U323" s="22">
        <v>1</v>
      </c>
      <c r="V323" s="10">
        <v>35</v>
      </c>
      <c r="W323" s="10">
        <v>43.873031999999981</v>
      </c>
      <c r="X323" s="40">
        <v>267.20926307471984</v>
      </c>
      <c r="Y323" s="39">
        <v>7.6345503735634237</v>
      </c>
      <c r="Z323" s="15">
        <v>0.58239323309853386</v>
      </c>
      <c r="AA323" s="10">
        <v>61.267286438757083</v>
      </c>
      <c r="AB323" s="10">
        <v>2576.7396199999989</v>
      </c>
      <c r="AC323" s="43">
        <v>0.24323668372825344</v>
      </c>
      <c r="AD323" s="43">
        <v>0.11850162997653634</v>
      </c>
      <c r="AE323" s="44">
        <v>4331.6831683168321</v>
      </c>
      <c r="AF323" s="10">
        <v>36419.879999999997</v>
      </c>
      <c r="AG323" s="10">
        <v>5289.020919999999</v>
      </c>
      <c r="AH323" s="12">
        <v>0.11850162997653634</v>
      </c>
      <c r="AI323" s="10">
        <v>20515.723270440252</v>
      </c>
      <c r="AJ323" s="10">
        <v>40751.563168316832</v>
      </c>
      <c r="AK323" s="5" t="s">
        <v>22</v>
      </c>
      <c r="AL323" s="5" t="s">
        <v>22</v>
      </c>
      <c r="AM323" s="4" t="s">
        <v>145</v>
      </c>
    </row>
    <row r="324" spans="1:39" x14ac:dyDescent="0.35">
      <c r="A324" s="5" t="s">
        <v>108</v>
      </c>
      <c r="B324" s="9" t="s">
        <v>116</v>
      </c>
      <c r="C324" s="5" t="s">
        <v>113</v>
      </c>
      <c r="D324" s="9" t="s">
        <v>116</v>
      </c>
      <c r="E324" s="16">
        <v>0</v>
      </c>
      <c r="F324" s="24">
        <v>0</v>
      </c>
      <c r="G324" s="53">
        <v>0.66600000000000004</v>
      </c>
      <c r="H324" s="10">
        <v>-0.66600000000000004</v>
      </c>
      <c r="I324" s="10">
        <v>0.70521114106019767</v>
      </c>
      <c r="J324" s="10">
        <v>0</v>
      </c>
      <c r="K324" s="10">
        <v>0.5861635220125786</v>
      </c>
      <c r="L324" s="10">
        <v>0.11904761904761905</v>
      </c>
      <c r="M324" s="10">
        <v>0</v>
      </c>
      <c r="N324" s="11">
        <v>0</v>
      </c>
      <c r="O324" s="12">
        <v>1.6E-2</v>
      </c>
      <c r="P324" s="11">
        <v>3.6999999999999998E-2</v>
      </c>
      <c r="Q324" s="35">
        <v>-1.3712111410601977</v>
      </c>
      <c r="R324" s="12">
        <v>2.0588755871774738</v>
      </c>
      <c r="S324" s="10">
        <v>0</v>
      </c>
      <c r="T324" s="10">
        <v>0</v>
      </c>
      <c r="U324" s="22">
        <v>1</v>
      </c>
      <c r="V324" s="10">
        <v>1</v>
      </c>
      <c r="W324" s="10">
        <v>0</v>
      </c>
      <c r="X324" s="40">
        <v>1.4479526304753936</v>
      </c>
      <c r="Y324" s="39">
        <v>1.4479526304753936</v>
      </c>
      <c r="Z324" s="15">
        <v>5.2999999999999999E-2</v>
      </c>
      <c r="AA324" s="10">
        <v>0.70521114106019767</v>
      </c>
      <c r="AB324" s="10">
        <v>216.32003999999995</v>
      </c>
      <c r="AC324" s="43">
        <v>0</v>
      </c>
      <c r="AD324" s="43">
        <v>0</v>
      </c>
      <c r="AE324" s="44">
        <v>119.04761904761905</v>
      </c>
      <c r="AF324" s="10">
        <v>0</v>
      </c>
      <c r="AG324" s="10">
        <v>5289.020919999999</v>
      </c>
      <c r="AH324" s="12">
        <v>0</v>
      </c>
      <c r="AI324" s="10">
        <v>586.1635220125786</v>
      </c>
      <c r="AJ324" s="10">
        <v>119.04761904761905</v>
      </c>
      <c r="AK324" s="5" t="s">
        <v>113</v>
      </c>
      <c r="AL324" s="5" t="s">
        <v>113</v>
      </c>
      <c r="AM324" s="4" t="s">
        <v>145</v>
      </c>
    </row>
    <row r="325" spans="1:39" x14ac:dyDescent="0.35">
      <c r="A325" s="5" t="s">
        <v>108</v>
      </c>
      <c r="B325" s="9" t="s">
        <v>24</v>
      </c>
      <c r="C325" s="5" t="s">
        <v>22</v>
      </c>
      <c r="D325" s="9" t="s">
        <v>24</v>
      </c>
      <c r="E325" s="16">
        <v>0.56324876242670385</v>
      </c>
      <c r="F325" s="24">
        <v>392.38079999999997</v>
      </c>
      <c r="G325" s="53">
        <v>77.97</v>
      </c>
      <c r="H325" s="10">
        <v>314.41079999999999</v>
      </c>
      <c r="I325" s="10">
        <v>322.64755833000805</v>
      </c>
      <c r="J325" s="10">
        <v>221.00799999999998</v>
      </c>
      <c r="K325" s="10">
        <v>23.446540880503143</v>
      </c>
      <c r="L325" s="10">
        <v>18.158755049504954</v>
      </c>
      <c r="M325" s="10">
        <v>60.034262399999996</v>
      </c>
      <c r="N325" s="11">
        <v>0.1</v>
      </c>
      <c r="O325" s="12">
        <v>1.6E-2</v>
      </c>
      <c r="P325" s="11">
        <v>3.6999999999999998E-2</v>
      </c>
      <c r="Q325" s="35">
        <v>-8.2367583300080582</v>
      </c>
      <c r="R325" s="12">
        <v>-2.6197440832210785E-2</v>
      </c>
      <c r="S325" s="10">
        <v>43.916506006410096</v>
      </c>
      <c r="T325" s="10">
        <v>0.19871002862525386</v>
      </c>
      <c r="U325" s="22">
        <v>1</v>
      </c>
      <c r="V325" s="10">
        <v>40</v>
      </c>
      <c r="W325" s="10">
        <v>39.238079999999997</v>
      </c>
      <c r="X325" s="40">
        <v>421.40889658365086</v>
      </c>
      <c r="Y325" s="39">
        <v>10.535222414591271</v>
      </c>
      <c r="Z325" s="15">
        <v>0.71624876242670388</v>
      </c>
      <c r="AA325" s="10">
        <v>41.605295930008097</v>
      </c>
      <c r="AB325" s="10">
        <v>2576.7396199999989</v>
      </c>
      <c r="AC325" s="43">
        <v>0.15227801713236364</v>
      </c>
      <c r="AD325" s="43">
        <v>7.4187795044682869E-2</v>
      </c>
      <c r="AE325" s="44">
        <v>4950.4950495049507</v>
      </c>
      <c r="AF325" s="10">
        <v>13208.260000000004</v>
      </c>
      <c r="AG325" s="10">
        <v>5289.020919999999</v>
      </c>
      <c r="AH325" s="12">
        <v>7.4187795044682869E-2</v>
      </c>
      <c r="AI325" s="10">
        <v>23446.540880503144</v>
      </c>
      <c r="AJ325" s="10">
        <v>18158.755049504955</v>
      </c>
      <c r="AK325" s="5" t="s">
        <v>22</v>
      </c>
      <c r="AL325" s="5" t="s">
        <v>22</v>
      </c>
      <c r="AM325" s="4" t="s">
        <v>145</v>
      </c>
    </row>
    <row r="326" spans="1:39" x14ac:dyDescent="0.35">
      <c r="A326" s="5" t="s">
        <v>108</v>
      </c>
      <c r="B326" s="9" t="s">
        <v>23</v>
      </c>
      <c r="C326" s="5" t="s">
        <v>22</v>
      </c>
      <c r="D326" s="9" t="s">
        <v>23</v>
      </c>
      <c r="E326" s="16">
        <v>0.50309915622223877</v>
      </c>
      <c r="F326" s="24">
        <v>444.65974</v>
      </c>
      <c r="G326" s="53">
        <v>0.62504999999999999</v>
      </c>
      <c r="H326" s="10">
        <v>444.03469000000001</v>
      </c>
      <c r="I326" s="10">
        <v>336.62439405875716</v>
      </c>
      <c r="J326" s="10">
        <v>223.70794000000006</v>
      </c>
      <c r="K326" s="10">
        <v>20.515723270440251</v>
      </c>
      <c r="L326" s="10">
        <v>19.921193168316833</v>
      </c>
      <c r="M326" s="10">
        <v>72.479537620000002</v>
      </c>
      <c r="N326" s="11">
        <v>0.11</v>
      </c>
      <c r="O326" s="12">
        <v>1.6E-2</v>
      </c>
      <c r="P326" s="11">
        <v>3.6999999999999998E-2</v>
      </c>
      <c r="Q326" s="35">
        <v>107.41029594124285</v>
      </c>
      <c r="R326" s="12">
        <v>0.24189618144754152</v>
      </c>
      <c r="S326" s="10">
        <v>0.31446212759671033</v>
      </c>
      <c r="T326" s="10">
        <v>1.4056815667638362E-3</v>
      </c>
      <c r="U326" s="22">
        <v>1</v>
      </c>
      <c r="V326" s="10">
        <v>35</v>
      </c>
      <c r="W326" s="10">
        <v>48.912571399999997</v>
      </c>
      <c r="X326" s="40">
        <v>122.97652792422183</v>
      </c>
      <c r="Y326" s="39">
        <v>3.5136150835491953</v>
      </c>
      <c r="Z326" s="15">
        <v>0.66609915622223881</v>
      </c>
      <c r="AA326" s="10">
        <v>40.436916438757081</v>
      </c>
      <c r="AB326" s="10">
        <v>2576.7396199999989</v>
      </c>
      <c r="AC326" s="43">
        <v>0.17256681138779564</v>
      </c>
      <c r="AD326" s="43">
        <v>8.4072221820593609E-2</v>
      </c>
      <c r="AE326" s="44">
        <v>4331.6831683168321</v>
      </c>
      <c r="AF326" s="10">
        <v>15589.51</v>
      </c>
      <c r="AG326" s="10">
        <v>5289.020919999999</v>
      </c>
      <c r="AH326" s="12">
        <v>8.4072221820593609E-2</v>
      </c>
      <c r="AI326" s="10">
        <v>20515.723270440252</v>
      </c>
      <c r="AJ326" s="10">
        <v>19921.193168316833</v>
      </c>
      <c r="AK326" s="5" t="s">
        <v>22</v>
      </c>
      <c r="AL326" s="5" t="s">
        <v>22</v>
      </c>
      <c r="AM326" s="4" t="s">
        <v>145</v>
      </c>
    </row>
    <row r="327" spans="1:39" x14ac:dyDescent="0.35">
      <c r="A327" s="5" t="s">
        <v>108</v>
      </c>
      <c r="B327" s="9" t="s">
        <v>25</v>
      </c>
      <c r="C327" s="5" t="s">
        <v>22</v>
      </c>
      <c r="D327" s="9" t="s">
        <v>25</v>
      </c>
      <c r="E327" s="16">
        <v>0.47747404514715686</v>
      </c>
      <c r="F327" s="24">
        <v>52.494999999999997</v>
      </c>
      <c r="G327" s="53">
        <v>0</v>
      </c>
      <c r="H327" s="10">
        <v>52.494999999999997</v>
      </c>
      <c r="I327" s="10">
        <v>51.837779761504443</v>
      </c>
      <c r="J327" s="10">
        <v>25.064999999999998</v>
      </c>
      <c r="K327" s="10">
        <v>12.895597484276728</v>
      </c>
      <c r="L327" s="10">
        <v>7.6827722772277234</v>
      </c>
      <c r="M327" s="10">
        <v>6.1944099999999995</v>
      </c>
      <c r="N327" s="11">
        <v>6.5000000000000002E-2</v>
      </c>
      <c r="O327" s="12">
        <v>1.6E-2</v>
      </c>
      <c r="P327" s="11">
        <v>3.6999999999999998E-2</v>
      </c>
      <c r="Q327" s="35">
        <v>0.65722023849555455</v>
      </c>
      <c r="R327" s="12">
        <v>1.2519673083066094E-2</v>
      </c>
      <c r="S327" s="10">
        <v>0</v>
      </c>
      <c r="T327" s="10">
        <v>0</v>
      </c>
      <c r="U327" s="22">
        <v>1</v>
      </c>
      <c r="V327" s="10">
        <v>22</v>
      </c>
      <c r="W327" s="10">
        <v>3.412175</v>
      </c>
      <c r="X327" s="40">
        <v>50.870332335017586</v>
      </c>
      <c r="Y327" s="39">
        <v>2.3122878334098904</v>
      </c>
      <c r="Z327" s="15">
        <v>0.59547404514715685</v>
      </c>
      <c r="AA327" s="10">
        <v>20.578369761504451</v>
      </c>
      <c r="AB327" s="10">
        <v>2576.7396199999989</v>
      </c>
      <c r="AC327" s="43">
        <v>2.0372644404016274E-2</v>
      </c>
      <c r="AD327" s="43">
        <v>9.9252774367925931E-3</v>
      </c>
      <c r="AE327" s="44">
        <v>2722.772277227723</v>
      </c>
      <c r="AF327" s="10">
        <v>4960</v>
      </c>
      <c r="AG327" s="10">
        <v>5289.020919999999</v>
      </c>
      <c r="AH327" s="12">
        <v>9.9252774367925931E-3</v>
      </c>
      <c r="AI327" s="10">
        <v>12895.597484276728</v>
      </c>
      <c r="AJ327" s="10">
        <v>7682.772277227723</v>
      </c>
      <c r="AK327" s="5" t="s">
        <v>22</v>
      </c>
      <c r="AL327" s="5" t="s">
        <v>22</v>
      </c>
      <c r="AM327" s="4" t="s">
        <v>145</v>
      </c>
    </row>
    <row r="328" spans="1:39" x14ac:dyDescent="0.35">
      <c r="A328" s="5" t="s">
        <v>108</v>
      </c>
      <c r="B328" s="9" t="s">
        <v>125</v>
      </c>
      <c r="C328" s="5" t="s">
        <v>22</v>
      </c>
      <c r="D328" s="9" t="s">
        <v>125</v>
      </c>
      <c r="E328" s="16">
        <v>0</v>
      </c>
      <c r="F328" s="24">
        <v>0</v>
      </c>
      <c r="G328" s="53">
        <v>0</v>
      </c>
      <c r="H328" s="10">
        <v>0</v>
      </c>
      <c r="I328" s="10">
        <v>13.648888473753034</v>
      </c>
      <c r="J328" s="10">
        <v>0</v>
      </c>
      <c r="K328" s="10">
        <v>8.7924528301886777</v>
      </c>
      <c r="L328" s="10">
        <v>4.8564356435643568</v>
      </c>
      <c r="M328" s="10">
        <v>0</v>
      </c>
      <c r="N328" s="11">
        <v>0</v>
      </c>
      <c r="O328" s="12">
        <v>1.6E-2</v>
      </c>
      <c r="P328" s="11">
        <v>3.6999999999999998E-2</v>
      </c>
      <c r="Q328" s="35">
        <v>-13.648888473753034</v>
      </c>
      <c r="R328" s="12">
        <v>0</v>
      </c>
      <c r="S328" s="10">
        <v>0</v>
      </c>
      <c r="T328" s="10">
        <v>0</v>
      </c>
      <c r="U328" s="22">
        <v>1</v>
      </c>
      <c r="V328" s="10">
        <v>15</v>
      </c>
      <c r="W328" s="10">
        <v>0</v>
      </c>
      <c r="X328" s="40">
        <v>14.412765019802572</v>
      </c>
      <c r="Y328" s="39">
        <v>0.96085100132017154</v>
      </c>
      <c r="Z328" s="15">
        <v>5.2999999999999999E-2</v>
      </c>
      <c r="AA328" s="10">
        <v>13.648888473753034</v>
      </c>
      <c r="AB328" s="10">
        <v>2576.7396199999989</v>
      </c>
      <c r="AC328" s="43">
        <v>0</v>
      </c>
      <c r="AD328" s="43">
        <v>0</v>
      </c>
      <c r="AE328" s="44">
        <v>1856.4356435643565</v>
      </c>
      <c r="AF328" s="10">
        <v>3000</v>
      </c>
      <c r="AG328" s="10">
        <v>5289.020919999999</v>
      </c>
      <c r="AH328" s="12">
        <v>0</v>
      </c>
      <c r="AI328" s="10">
        <v>8792.4528301886785</v>
      </c>
      <c r="AJ328" s="10">
        <v>4856.4356435643567</v>
      </c>
      <c r="AK328" s="5" t="s">
        <v>22</v>
      </c>
      <c r="AL328" s="5" t="s">
        <v>22</v>
      </c>
      <c r="AM328" s="4" t="s">
        <v>145</v>
      </c>
    </row>
    <row r="329" spans="1:39" x14ac:dyDescent="0.35">
      <c r="A329" s="5" t="s">
        <v>108</v>
      </c>
      <c r="B329" s="9" t="s">
        <v>26</v>
      </c>
      <c r="C329" s="5" t="s">
        <v>22</v>
      </c>
      <c r="D329" s="9" t="s">
        <v>26</v>
      </c>
      <c r="E329" s="16">
        <v>0.59423953110332672</v>
      </c>
      <c r="F329" s="24">
        <v>87.353999999999999</v>
      </c>
      <c r="G329" s="53">
        <v>29.518579999999993</v>
      </c>
      <c r="H329" s="10">
        <v>57.835420000000006</v>
      </c>
      <c r="I329" s="10">
        <v>87.468969456255053</v>
      </c>
      <c r="J329" s="10">
        <v>51.909200000000006</v>
      </c>
      <c r="K329" s="10">
        <v>14.654088050314465</v>
      </c>
      <c r="L329" s="10">
        <v>8.4140594059405931</v>
      </c>
      <c r="M329" s="10">
        <v>12.491622</v>
      </c>
      <c r="N329" s="11">
        <v>0.09</v>
      </c>
      <c r="O329" s="12">
        <v>1.6E-2</v>
      </c>
      <c r="P329" s="11">
        <v>3.6999999999999998E-2</v>
      </c>
      <c r="Q329" s="35">
        <v>-29.633549456255047</v>
      </c>
      <c r="R329" s="12">
        <v>-0.51237718090843021</v>
      </c>
      <c r="S329" s="10">
        <v>17.541107138036033</v>
      </c>
      <c r="T329" s="10">
        <v>0.3379190420587494</v>
      </c>
      <c r="U329" s="22">
        <v>1</v>
      </c>
      <c r="V329" s="10">
        <v>25</v>
      </c>
      <c r="W329" s="10">
        <v>7.8618600000000001</v>
      </c>
      <c r="X329" s="40">
        <v>200.13180702967165</v>
      </c>
      <c r="Y329" s="39">
        <v>8.0052722811868655</v>
      </c>
      <c r="Z329" s="15">
        <v>0.73723953110332674</v>
      </c>
      <c r="AA329" s="10">
        <v>23.068147456255058</v>
      </c>
      <c r="AB329" s="10">
        <v>2576.7396199999989</v>
      </c>
      <c r="AC329" s="43">
        <v>3.3900980650889374E-2</v>
      </c>
      <c r="AD329" s="43">
        <v>1.6516100299334799E-2</v>
      </c>
      <c r="AE329" s="44">
        <v>3094.0594059405944</v>
      </c>
      <c r="AF329" s="10">
        <v>5320</v>
      </c>
      <c r="AG329" s="10">
        <v>5289.020919999999</v>
      </c>
      <c r="AH329" s="12">
        <v>1.6516100299334799E-2</v>
      </c>
      <c r="AI329" s="10">
        <v>14654.088050314465</v>
      </c>
      <c r="AJ329" s="10">
        <v>8414.0594059405939</v>
      </c>
      <c r="AK329" s="5" t="s">
        <v>22</v>
      </c>
      <c r="AL329" s="5" t="s">
        <v>22</v>
      </c>
      <c r="AM329" s="4" t="s">
        <v>145</v>
      </c>
    </row>
    <row r="330" spans="1:39" x14ac:dyDescent="0.35">
      <c r="A330" s="5" t="s">
        <v>108</v>
      </c>
      <c r="B330" s="9" t="s">
        <v>27</v>
      </c>
      <c r="C330" s="5" t="s">
        <v>22</v>
      </c>
      <c r="D330" s="9" t="s">
        <v>27</v>
      </c>
      <c r="E330" s="16">
        <v>0.51279768673831061</v>
      </c>
      <c r="F330" s="24">
        <v>67.534080000000003</v>
      </c>
      <c r="G330" s="53">
        <v>0</v>
      </c>
      <c r="H330" s="10">
        <v>67.534080000000003</v>
      </c>
      <c r="I330" s="10">
        <v>50.486589222502033</v>
      </c>
      <c r="J330" s="10">
        <v>34.631320000000009</v>
      </c>
      <c r="K330" s="10">
        <v>5.8616352201257858</v>
      </c>
      <c r="L330" s="10">
        <v>3.0376237623762377</v>
      </c>
      <c r="M330" s="10">
        <v>6.9560102400000012</v>
      </c>
      <c r="N330" s="11">
        <v>0.05</v>
      </c>
      <c r="O330" s="12">
        <v>1.6E-2</v>
      </c>
      <c r="P330" s="11">
        <v>3.6999999999999998E-2</v>
      </c>
      <c r="Q330" s="35">
        <v>17.04749077749797</v>
      </c>
      <c r="R330" s="12">
        <v>0.25242797084816981</v>
      </c>
      <c r="S330" s="10">
        <v>0</v>
      </c>
      <c r="T330" s="10">
        <v>0</v>
      </c>
      <c r="U330" s="22">
        <v>1</v>
      </c>
      <c r="V330" s="10">
        <v>10</v>
      </c>
      <c r="W330" s="10">
        <v>3.3767040000000001</v>
      </c>
      <c r="X330" s="40">
        <v>23.162950027426106</v>
      </c>
      <c r="Y330" s="39">
        <v>2.3162950027426108</v>
      </c>
      <c r="Z330" s="15">
        <v>0.61579768673831059</v>
      </c>
      <c r="AA330" s="10">
        <v>8.8992589825020225</v>
      </c>
      <c r="AB330" s="10">
        <v>2576.7396199999989</v>
      </c>
      <c r="AC330" s="43">
        <v>2.6209120811360842E-2</v>
      </c>
      <c r="AD330" s="43">
        <v>1.2768729982637318E-2</v>
      </c>
      <c r="AE330" s="44">
        <v>1237.6237623762377</v>
      </c>
      <c r="AF330" s="10">
        <v>1800</v>
      </c>
      <c r="AG330" s="10">
        <v>5289.020919999999</v>
      </c>
      <c r="AH330" s="12">
        <v>1.2768729982637318E-2</v>
      </c>
      <c r="AI330" s="10">
        <v>5861.635220125786</v>
      </c>
      <c r="AJ330" s="10">
        <v>3037.6237623762377</v>
      </c>
      <c r="AK330" s="5" t="s">
        <v>22</v>
      </c>
      <c r="AL330" s="5" t="s">
        <v>22</v>
      </c>
      <c r="AM330" s="4" t="s">
        <v>145</v>
      </c>
    </row>
    <row r="331" spans="1:39" x14ac:dyDescent="0.35">
      <c r="A331" s="5" t="s">
        <v>108</v>
      </c>
      <c r="B331" s="9" t="s">
        <v>28</v>
      </c>
      <c r="C331" s="5" t="s">
        <v>22</v>
      </c>
      <c r="D331" s="9" t="s">
        <v>28</v>
      </c>
      <c r="E331" s="16">
        <v>0.58683168217230774</v>
      </c>
      <c r="F331" s="24">
        <v>874.77839999999946</v>
      </c>
      <c r="G331" s="53">
        <v>70.542500000000004</v>
      </c>
      <c r="H331" s="10">
        <v>804.23589999999945</v>
      </c>
      <c r="I331" s="10">
        <v>637.27408936850327</v>
      </c>
      <c r="J331" s="10">
        <v>513.34767999999963</v>
      </c>
      <c r="K331" s="10">
        <v>10.550943396226415</v>
      </c>
      <c r="L331" s="10">
        <v>5.7777227722772277</v>
      </c>
      <c r="M331" s="10">
        <v>107.59774319999994</v>
      </c>
      <c r="N331" s="11">
        <v>7.0000000000000007E-2</v>
      </c>
      <c r="O331" s="12">
        <v>1.6E-2</v>
      </c>
      <c r="P331" s="11">
        <v>3.6999999999999998E-2</v>
      </c>
      <c r="Q331" s="35">
        <v>166.96181063149618</v>
      </c>
      <c r="R331" s="12">
        <v>0.20760303118960033</v>
      </c>
      <c r="S331" s="10">
        <v>41.396573939640021</v>
      </c>
      <c r="T331" s="10">
        <v>8.0640422763067821E-2</v>
      </c>
      <c r="U331" s="22">
        <v>1</v>
      </c>
      <c r="V331" s="10">
        <v>18</v>
      </c>
      <c r="W331" s="10">
        <v>61.23448799999997</v>
      </c>
      <c r="X331" s="40">
        <v>299.38198221933203</v>
      </c>
      <c r="Y331" s="39">
        <v>16.632332345518446</v>
      </c>
      <c r="Z331" s="15">
        <v>0.70983168217230774</v>
      </c>
      <c r="AA331" s="10">
        <v>16.328666168503645</v>
      </c>
      <c r="AB331" s="10">
        <v>2576.7396199999989</v>
      </c>
      <c r="AC331" s="43">
        <v>0.33949041385873513</v>
      </c>
      <c r="AD331" s="43">
        <v>0.16539514840867742</v>
      </c>
      <c r="AE331" s="44">
        <v>2227.7227722772277</v>
      </c>
      <c r="AF331" s="10">
        <v>3550</v>
      </c>
      <c r="AG331" s="10">
        <v>5289.020919999999</v>
      </c>
      <c r="AH331" s="12">
        <v>0.16539514840867742</v>
      </c>
      <c r="AI331" s="10">
        <v>10550.943396226416</v>
      </c>
      <c r="AJ331" s="10">
        <v>5777.7227722772277</v>
      </c>
      <c r="AK331" s="5" t="s">
        <v>22</v>
      </c>
      <c r="AL331" s="5" t="s">
        <v>22</v>
      </c>
      <c r="AM331" s="4" t="s">
        <v>145</v>
      </c>
    </row>
    <row r="332" spans="1:39" x14ac:dyDescent="0.35">
      <c r="A332" s="5" t="s">
        <v>108</v>
      </c>
      <c r="B332" s="9" t="s">
        <v>135</v>
      </c>
      <c r="C332" s="5" t="s">
        <v>113</v>
      </c>
      <c r="D332" s="9" t="s">
        <v>115</v>
      </c>
      <c r="E332" s="16">
        <v>0</v>
      </c>
      <c r="F332" s="24">
        <v>0</v>
      </c>
      <c r="G332" s="53">
        <v>0</v>
      </c>
      <c r="H332" s="10">
        <v>0</v>
      </c>
      <c r="I332" s="10">
        <v>1.4104222821203953</v>
      </c>
      <c r="J332" s="10">
        <v>0</v>
      </c>
      <c r="K332" s="10">
        <v>1.1723270440251572</v>
      </c>
      <c r="L332" s="10">
        <v>0.23809523809523811</v>
      </c>
      <c r="M332" s="10">
        <v>0</v>
      </c>
      <c r="N332" s="11">
        <v>0</v>
      </c>
      <c r="O332" s="12">
        <v>1.6E-2</v>
      </c>
      <c r="P332" s="11">
        <v>3.6999999999999998E-2</v>
      </c>
      <c r="Q332" s="35">
        <v>-1.4104222821203953</v>
      </c>
      <c r="R332" s="12">
        <v>0</v>
      </c>
      <c r="S332" s="10">
        <v>0</v>
      </c>
      <c r="T332" s="10">
        <v>0</v>
      </c>
      <c r="U332" s="22">
        <v>1</v>
      </c>
      <c r="V332" s="10">
        <v>2</v>
      </c>
      <c r="W332" s="10">
        <v>0</v>
      </c>
      <c r="X332" s="40">
        <v>1.489358270454483</v>
      </c>
      <c r="Y332" s="39">
        <v>0.7446791352272415</v>
      </c>
      <c r="Z332" s="15">
        <v>5.2999999999999999E-2</v>
      </c>
      <c r="AA332" s="10">
        <v>1.4104222821203953</v>
      </c>
      <c r="AB332" s="10">
        <v>216.32003999999995</v>
      </c>
      <c r="AC332" s="43">
        <v>0</v>
      </c>
      <c r="AD332" s="43">
        <v>0</v>
      </c>
      <c r="AE332" s="44">
        <v>238.0952380952381</v>
      </c>
      <c r="AF332" s="10">
        <v>0</v>
      </c>
      <c r="AG332" s="10">
        <v>5289.020919999999</v>
      </c>
      <c r="AH332" s="12">
        <v>0</v>
      </c>
      <c r="AI332" s="10">
        <v>1172.3270440251572</v>
      </c>
      <c r="AJ332" s="10">
        <v>238.0952380952381</v>
      </c>
      <c r="AK332" s="5" t="s">
        <v>113</v>
      </c>
      <c r="AL332" s="5" t="s">
        <v>113</v>
      </c>
      <c r="AM332" s="4" t="s">
        <v>145</v>
      </c>
    </row>
    <row r="333" spans="1:39" x14ac:dyDescent="0.35">
      <c r="A333" s="5" t="s">
        <v>108</v>
      </c>
      <c r="B333" s="9" t="s">
        <v>114</v>
      </c>
      <c r="C333" s="5" t="s">
        <v>113</v>
      </c>
      <c r="D333" s="9" t="s">
        <v>114</v>
      </c>
      <c r="E333" s="16">
        <v>0</v>
      </c>
      <c r="F333" s="24">
        <v>0</v>
      </c>
      <c r="G333" s="53">
        <v>0</v>
      </c>
      <c r="H333" s="10">
        <v>0</v>
      </c>
      <c r="I333" s="10">
        <v>0</v>
      </c>
      <c r="J333" s="10">
        <v>0</v>
      </c>
      <c r="K333" s="10">
        <v>0</v>
      </c>
      <c r="L333" s="10">
        <v>0</v>
      </c>
      <c r="M333" s="10">
        <v>0</v>
      </c>
      <c r="N333" s="11">
        <v>0</v>
      </c>
      <c r="O333" s="12">
        <v>1.6E-2</v>
      </c>
      <c r="P333" s="11">
        <v>3.6999999999999998E-2</v>
      </c>
      <c r="Q333" s="35">
        <v>0</v>
      </c>
      <c r="R333" s="12">
        <v>0</v>
      </c>
      <c r="S333" s="10">
        <v>0</v>
      </c>
      <c r="T333" s="10">
        <v>0</v>
      </c>
      <c r="U333" s="22">
        <v>1</v>
      </c>
      <c r="V333" s="10">
        <v>0</v>
      </c>
      <c r="W333" s="10">
        <v>0</v>
      </c>
      <c r="X333" s="40">
        <v>0</v>
      </c>
      <c r="Y333" s="39">
        <v>0</v>
      </c>
      <c r="Z333" s="15">
        <v>5.2999999999999999E-2</v>
      </c>
      <c r="AA333" s="10">
        <v>0</v>
      </c>
      <c r="AB333" s="10">
        <v>216.32003999999995</v>
      </c>
      <c r="AC333" s="43">
        <v>0</v>
      </c>
      <c r="AD333" s="43">
        <v>0</v>
      </c>
      <c r="AE333" s="44">
        <v>0</v>
      </c>
      <c r="AF333" s="10">
        <v>0</v>
      </c>
      <c r="AG333" s="10">
        <v>5289.020919999999</v>
      </c>
      <c r="AH333" s="12">
        <v>0</v>
      </c>
      <c r="AI333" s="10">
        <v>0</v>
      </c>
      <c r="AJ333" s="10">
        <v>0</v>
      </c>
      <c r="AK333" s="5" t="s">
        <v>113</v>
      </c>
      <c r="AL333" s="5" t="s">
        <v>113</v>
      </c>
      <c r="AM333" s="4" t="s">
        <v>145</v>
      </c>
    </row>
    <row r="334" spans="1:39" x14ac:dyDescent="0.35">
      <c r="A334" s="5" t="s">
        <v>108</v>
      </c>
      <c r="B334" s="9" t="s">
        <v>136</v>
      </c>
      <c r="C334" s="5" t="s">
        <v>113</v>
      </c>
      <c r="D334" s="9" t="s">
        <v>7</v>
      </c>
      <c r="E334" s="16">
        <v>0.51209387666827122</v>
      </c>
      <c r="F334" s="24">
        <v>5.7334799999999992</v>
      </c>
      <c r="G334" s="53">
        <v>0</v>
      </c>
      <c r="H334" s="10">
        <v>5.7334799999999992</v>
      </c>
      <c r="I334" s="10">
        <v>4.1396100255046413</v>
      </c>
      <c r="J334" s="10">
        <v>2.9360799999999991</v>
      </c>
      <c r="K334" s="10">
        <v>0.5861635220125786</v>
      </c>
      <c r="L334" s="10">
        <v>0.31349206349206349</v>
      </c>
      <c r="M334" s="10">
        <v>0.30387443999999997</v>
      </c>
      <c r="N334" s="11">
        <v>0</v>
      </c>
      <c r="O334" s="12">
        <v>1.6E-2</v>
      </c>
      <c r="P334" s="11">
        <v>3.6999999999999998E-2</v>
      </c>
      <c r="Q334" s="35">
        <v>1.5938699744953579</v>
      </c>
      <c r="R334" s="12">
        <v>0.27799346548611981</v>
      </c>
      <c r="S334" s="10">
        <v>0</v>
      </c>
      <c r="T334" s="10">
        <v>0</v>
      </c>
      <c r="U334" s="22">
        <v>1</v>
      </c>
      <c r="V334" s="10">
        <v>1</v>
      </c>
      <c r="W334" s="10">
        <v>0</v>
      </c>
      <c r="X334" s="40">
        <v>2.0686201854610848</v>
      </c>
      <c r="Y334" s="39">
        <v>2.0686201854610848</v>
      </c>
      <c r="Z334" s="15">
        <v>0.56509387666827127</v>
      </c>
      <c r="AA334" s="10">
        <v>0.89965558550464209</v>
      </c>
      <c r="AB334" s="10">
        <v>216.32003999999995</v>
      </c>
      <c r="AC334" s="43">
        <v>2.6504617880063263E-2</v>
      </c>
      <c r="AD334" s="43">
        <v>1.0840342828517305E-3</v>
      </c>
      <c r="AE334" s="44">
        <v>119.04761904761905</v>
      </c>
      <c r="AF334" s="10">
        <v>194.44444444444446</v>
      </c>
      <c r="AG334" s="10">
        <v>5289.020919999999</v>
      </c>
      <c r="AH334" s="12">
        <v>1.0840342828517305E-3</v>
      </c>
      <c r="AI334" s="10">
        <v>586.1635220125786</v>
      </c>
      <c r="AJ334" s="10">
        <v>313.49206349206349</v>
      </c>
      <c r="AK334" s="5" t="s">
        <v>113</v>
      </c>
      <c r="AL334" s="5" t="s">
        <v>113</v>
      </c>
      <c r="AM334" s="4" t="s">
        <v>145</v>
      </c>
    </row>
    <row r="335" spans="1:39" x14ac:dyDescent="0.35">
      <c r="A335" s="5" t="s">
        <v>108</v>
      </c>
      <c r="B335" s="9" t="s">
        <v>57</v>
      </c>
      <c r="C335" s="5" t="s">
        <v>113</v>
      </c>
      <c r="D335" s="9" t="s">
        <v>57</v>
      </c>
      <c r="E335" s="16">
        <v>0</v>
      </c>
      <c r="F335" s="24">
        <v>0</v>
      </c>
      <c r="G335" s="53">
        <v>0</v>
      </c>
      <c r="H335" s="10">
        <v>0</v>
      </c>
      <c r="I335" s="10">
        <v>0</v>
      </c>
      <c r="J335" s="10">
        <v>0</v>
      </c>
      <c r="K335" s="10">
        <v>0</v>
      </c>
      <c r="L335" s="10">
        <v>0</v>
      </c>
      <c r="M335" s="10">
        <v>0</v>
      </c>
      <c r="N335" s="11">
        <v>0</v>
      </c>
      <c r="O335" s="12">
        <v>1.6E-2</v>
      </c>
      <c r="P335" s="11">
        <v>3.6999999999999998E-2</v>
      </c>
      <c r="Q335" s="35">
        <v>0</v>
      </c>
      <c r="R335" s="12">
        <v>0</v>
      </c>
      <c r="S335" s="10">
        <v>0</v>
      </c>
      <c r="T335" s="10">
        <v>0</v>
      </c>
      <c r="U335" s="22">
        <v>1</v>
      </c>
      <c r="V335" s="10">
        <v>0</v>
      </c>
      <c r="W335" s="10">
        <v>0</v>
      </c>
      <c r="X335" s="40">
        <v>0</v>
      </c>
      <c r="Y335" s="39">
        <v>0</v>
      </c>
      <c r="Z335" s="15">
        <v>5.2999999999999999E-2</v>
      </c>
      <c r="AA335" s="10">
        <v>0</v>
      </c>
      <c r="AB335" s="10">
        <v>216.32003999999995</v>
      </c>
      <c r="AC335" s="43">
        <v>0</v>
      </c>
      <c r="AD335" s="43">
        <v>0</v>
      </c>
      <c r="AE335" s="44">
        <v>0</v>
      </c>
      <c r="AF335" s="10">
        <v>0</v>
      </c>
      <c r="AG335" s="10">
        <v>5289.020919999999</v>
      </c>
      <c r="AH335" s="12">
        <v>0</v>
      </c>
      <c r="AI335" s="10">
        <v>0</v>
      </c>
      <c r="AJ335" s="10">
        <v>0</v>
      </c>
      <c r="AK335" s="5" t="s">
        <v>113</v>
      </c>
      <c r="AL335" s="5" t="s">
        <v>113</v>
      </c>
      <c r="AM335" s="4" t="s">
        <v>145</v>
      </c>
    </row>
    <row r="336" spans="1:39" x14ac:dyDescent="0.35">
      <c r="A336" s="5" t="s">
        <v>108</v>
      </c>
      <c r="B336" s="9" t="s">
        <v>58</v>
      </c>
      <c r="C336" s="5" t="s">
        <v>113</v>
      </c>
      <c r="D336" s="9" t="s">
        <v>58</v>
      </c>
      <c r="E336" s="16">
        <v>0</v>
      </c>
      <c r="F336" s="24">
        <v>0</v>
      </c>
      <c r="G336" s="53">
        <v>0</v>
      </c>
      <c r="H336" s="10">
        <v>0</v>
      </c>
      <c r="I336" s="10">
        <v>0.81415114106019759</v>
      </c>
      <c r="J336" s="10">
        <v>0</v>
      </c>
      <c r="K336" s="10">
        <v>0.5861635220125786</v>
      </c>
      <c r="L336" s="10">
        <v>0.22798761904761902</v>
      </c>
      <c r="M336" s="10">
        <v>0</v>
      </c>
      <c r="N336" s="11">
        <v>0</v>
      </c>
      <c r="O336" s="12">
        <v>1.6E-2</v>
      </c>
      <c r="P336" s="11">
        <v>3.6999999999999998E-2</v>
      </c>
      <c r="Q336" s="35">
        <v>-0.81415114106019759</v>
      </c>
      <c r="R336" s="12">
        <v>0</v>
      </c>
      <c r="S336" s="10">
        <v>0</v>
      </c>
      <c r="T336" s="10">
        <v>0</v>
      </c>
      <c r="U336" s="22">
        <v>1</v>
      </c>
      <c r="V336" s="10">
        <v>1</v>
      </c>
      <c r="W336" s="10">
        <v>0</v>
      </c>
      <c r="X336" s="40">
        <v>0.85971609404455929</v>
      </c>
      <c r="Y336" s="39">
        <v>0.85971609404455929</v>
      </c>
      <c r="Z336" s="15">
        <v>5.2999999999999999E-2</v>
      </c>
      <c r="AA336" s="10">
        <v>0.81415114106019759</v>
      </c>
      <c r="AB336" s="10">
        <v>216.32003999999995</v>
      </c>
      <c r="AC336" s="43">
        <v>0</v>
      </c>
      <c r="AD336" s="43">
        <v>0</v>
      </c>
      <c r="AE336" s="44">
        <v>119.04761904761905</v>
      </c>
      <c r="AF336" s="10">
        <v>108.94</v>
      </c>
      <c r="AG336" s="10">
        <v>5289.020919999999</v>
      </c>
      <c r="AH336" s="12">
        <v>0</v>
      </c>
      <c r="AI336" s="10">
        <v>586.1635220125786</v>
      </c>
      <c r="AJ336" s="10">
        <v>227.98761904761903</v>
      </c>
      <c r="AK336" s="5" t="s">
        <v>113</v>
      </c>
      <c r="AL336" s="5" t="s">
        <v>113</v>
      </c>
      <c r="AM336" s="4" t="s">
        <v>145</v>
      </c>
    </row>
    <row r="337" spans="1:39" x14ac:dyDescent="0.35">
      <c r="A337" s="5" t="s">
        <v>108</v>
      </c>
      <c r="B337" s="9" t="s">
        <v>136</v>
      </c>
      <c r="C337" s="5" t="s">
        <v>113</v>
      </c>
      <c r="D337" s="9" t="s">
        <v>8</v>
      </c>
      <c r="E337" s="16">
        <v>0.51131326056797555</v>
      </c>
      <c r="F337" s="24">
        <v>31.571799999999975</v>
      </c>
      <c r="G337" s="53">
        <v>15.606159999999999</v>
      </c>
      <c r="H337" s="10">
        <v>15.965639999999976</v>
      </c>
      <c r="I337" s="10">
        <v>21.43720996424079</v>
      </c>
      <c r="J337" s="10">
        <v>16.143079999999998</v>
      </c>
      <c r="K337" s="10">
        <v>2.3446540880503144</v>
      </c>
      <c r="L337" s="10">
        <v>1.2761704761904762</v>
      </c>
      <c r="M337" s="10">
        <v>1.6733053999999987</v>
      </c>
      <c r="N337" s="11">
        <v>0</v>
      </c>
      <c r="O337" s="12">
        <v>1.6E-2</v>
      </c>
      <c r="P337" s="11">
        <v>3.6999999999999998E-2</v>
      </c>
      <c r="Q337" s="35">
        <v>-5.471569964240814</v>
      </c>
      <c r="R337" s="12">
        <v>-0.34270909053697957</v>
      </c>
      <c r="S337" s="10">
        <v>7.9796365545455172</v>
      </c>
      <c r="T337" s="10">
        <v>0.49430694480517462</v>
      </c>
      <c r="U337" s="22">
        <v>1</v>
      </c>
      <c r="V337" s="10">
        <v>4</v>
      </c>
      <c r="W337" s="10">
        <v>0</v>
      </c>
      <c r="X337" s="40">
        <v>44.130295517613689</v>
      </c>
      <c r="Y337" s="39">
        <v>11.032573879403422</v>
      </c>
      <c r="Z337" s="15">
        <v>0.56431326056797559</v>
      </c>
      <c r="AA337" s="10">
        <v>3.6208245642407908</v>
      </c>
      <c r="AB337" s="10">
        <v>216.32003999999995</v>
      </c>
      <c r="AC337" s="43">
        <v>0.14594949224306719</v>
      </c>
      <c r="AD337" s="43">
        <v>5.9693089661668388E-3</v>
      </c>
      <c r="AE337" s="44">
        <v>476.1904761904762</v>
      </c>
      <c r="AF337" s="10">
        <v>799.98</v>
      </c>
      <c r="AG337" s="10">
        <v>5289.020919999999</v>
      </c>
      <c r="AH337" s="12">
        <v>5.9693089661668388E-3</v>
      </c>
      <c r="AI337" s="10">
        <v>2344.6540880503144</v>
      </c>
      <c r="AJ337" s="10">
        <v>1276.1704761904762</v>
      </c>
      <c r="AK337" s="5" t="s">
        <v>113</v>
      </c>
      <c r="AL337" s="5" t="s">
        <v>113</v>
      </c>
      <c r="AM337" s="4" t="s">
        <v>145</v>
      </c>
    </row>
    <row r="338" spans="1:39" x14ac:dyDescent="0.35">
      <c r="A338" s="5" t="s">
        <v>108</v>
      </c>
      <c r="B338" s="9" t="s">
        <v>9</v>
      </c>
      <c r="C338" s="5" t="s">
        <v>113</v>
      </c>
      <c r="D338" s="9" t="s">
        <v>9</v>
      </c>
      <c r="E338" s="16">
        <v>0.5120805403190094</v>
      </c>
      <c r="F338" s="24">
        <v>63.050159999999991</v>
      </c>
      <c r="G338" s="53">
        <v>0</v>
      </c>
      <c r="H338" s="10">
        <v>63.050159999999991</v>
      </c>
      <c r="I338" s="10">
        <v>47.124129949541768</v>
      </c>
      <c r="J338" s="10">
        <v>32.286759999999987</v>
      </c>
      <c r="K338" s="10">
        <v>5.2754716981132077</v>
      </c>
      <c r="L338" s="10">
        <v>1.8067285714285717</v>
      </c>
      <c r="M338" s="10">
        <v>7.755169679999999</v>
      </c>
      <c r="N338" s="11">
        <v>7.0000000000000007E-2</v>
      </c>
      <c r="O338" s="12">
        <v>1.6E-2</v>
      </c>
      <c r="P338" s="11">
        <v>3.6999999999999998E-2</v>
      </c>
      <c r="Q338" s="35">
        <v>15.926030050458223</v>
      </c>
      <c r="R338" s="12">
        <v>0.25259301563165304</v>
      </c>
      <c r="S338" s="10">
        <v>0</v>
      </c>
      <c r="T338" s="10">
        <v>0</v>
      </c>
      <c r="U338" s="22">
        <v>1</v>
      </c>
      <c r="V338" s="10">
        <v>9</v>
      </c>
      <c r="W338" s="10">
        <v>4.4135111999999994</v>
      </c>
      <c r="X338" s="40">
        <v>19.407570853395917</v>
      </c>
      <c r="Y338" s="39">
        <v>2.1563967614884354</v>
      </c>
      <c r="Z338" s="15">
        <v>0.6350805403190094</v>
      </c>
      <c r="AA338" s="10">
        <v>7.0822002695417794</v>
      </c>
      <c r="AB338" s="10">
        <v>216.32003999999995</v>
      </c>
      <c r="AC338" s="43">
        <v>0.29146703190328555</v>
      </c>
      <c r="AD338" s="43">
        <v>1.1920951146474195E-2</v>
      </c>
      <c r="AE338" s="44">
        <v>1071.4285714285716</v>
      </c>
      <c r="AF338" s="10">
        <v>735.30000000000007</v>
      </c>
      <c r="AG338" s="10">
        <v>5289.020919999999</v>
      </c>
      <c r="AH338" s="12">
        <v>1.1920951146474195E-2</v>
      </c>
      <c r="AI338" s="10">
        <v>5275.4716981132078</v>
      </c>
      <c r="AJ338" s="10">
        <v>1806.7285714285717</v>
      </c>
      <c r="AK338" s="5" t="s">
        <v>113</v>
      </c>
      <c r="AL338" s="5" t="s">
        <v>113</v>
      </c>
      <c r="AM338" s="4" t="s">
        <v>145</v>
      </c>
    </row>
    <row r="339" spans="1:39" x14ac:dyDescent="0.35">
      <c r="A339" s="5" t="s">
        <v>108</v>
      </c>
      <c r="B339" s="9" t="s">
        <v>10</v>
      </c>
      <c r="C339" s="5" t="s">
        <v>113</v>
      </c>
      <c r="D339" s="9" t="s">
        <v>10</v>
      </c>
      <c r="E339" s="16">
        <v>0.55889107870187893</v>
      </c>
      <c r="F339" s="24">
        <v>7.6109999999999998</v>
      </c>
      <c r="G339" s="53">
        <v>0</v>
      </c>
      <c r="H339" s="10">
        <v>7.6109999999999998</v>
      </c>
      <c r="I339" s="10">
        <v>14.840963923843653</v>
      </c>
      <c r="J339" s="10">
        <v>4.2537200000000004</v>
      </c>
      <c r="K339" s="10">
        <v>7.0339622641509427</v>
      </c>
      <c r="L339" s="10">
        <v>3.1498986596927097</v>
      </c>
      <c r="M339" s="10">
        <v>0.40338299999999999</v>
      </c>
      <c r="N339" s="11">
        <v>0</v>
      </c>
      <c r="O339" s="12">
        <v>1.6E-2</v>
      </c>
      <c r="P339" s="11">
        <v>3.6999999999999998E-2</v>
      </c>
      <c r="Q339" s="35">
        <v>-7.2299639238436528</v>
      </c>
      <c r="R339" s="12">
        <v>-0.94993613504712293</v>
      </c>
      <c r="S339" s="10">
        <v>0</v>
      </c>
      <c r="T339" s="10">
        <v>0</v>
      </c>
      <c r="U339" s="22">
        <v>1</v>
      </c>
      <c r="V339" s="10">
        <v>12</v>
      </c>
      <c r="W339" s="10">
        <v>0</v>
      </c>
      <c r="X339" s="40">
        <v>26.239698097589073</v>
      </c>
      <c r="Y339" s="39">
        <v>2.1866415081324226</v>
      </c>
      <c r="Z339" s="15">
        <v>0.61189107870187898</v>
      </c>
      <c r="AA339" s="10">
        <v>10.183860923843653</v>
      </c>
      <c r="AB339" s="10">
        <v>216.32003999999995</v>
      </c>
      <c r="AC339" s="43">
        <v>3.5183980180477047E-2</v>
      </c>
      <c r="AD339" s="43">
        <v>1.4390186983794348E-3</v>
      </c>
      <c r="AE339" s="44">
        <v>1428.5714285714287</v>
      </c>
      <c r="AF339" s="10">
        <v>1721.3272311212813</v>
      </c>
      <c r="AG339" s="10">
        <v>5289.020919999999</v>
      </c>
      <c r="AH339" s="12">
        <v>1.4390186983794348E-3</v>
      </c>
      <c r="AI339" s="10">
        <v>7033.9622641509432</v>
      </c>
      <c r="AJ339" s="10">
        <v>3149.8986596927098</v>
      </c>
      <c r="AK339" s="5" t="s">
        <v>113</v>
      </c>
      <c r="AL339" s="5" t="s">
        <v>113</v>
      </c>
      <c r="AM339" s="4" t="s">
        <v>145</v>
      </c>
    </row>
    <row r="340" spans="1:39" x14ac:dyDescent="0.35">
      <c r="A340" s="5" t="s">
        <v>108</v>
      </c>
      <c r="B340" s="9" t="s">
        <v>12</v>
      </c>
      <c r="C340" s="5" t="s">
        <v>113</v>
      </c>
      <c r="D340" s="9" t="s">
        <v>12</v>
      </c>
      <c r="E340" s="16">
        <v>0</v>
      </c>
      <c r="F340" s="24">
        <v>0</v>
      </c>
      <c r="G340" s="53">
        <v>15.721</v>
      </c>
      <c r="H340" s="10">
        <v>-15.721</v>
      </c>
      <c r="I340" s="10">
        <v>13.264818256963162</v>
      </c>
      <c r="J340" s="10">
        <v>0</v>
      </c>
      <c r="K340" s="10">
        <v>9.3786163522012576</v>
      </c>
      <c r="L340" s="10">
        <v>3.8862019047619043</v>
      </c>
      <c r="M340" s="10">
        <v>0</v>
      </c>
      <c r="N340" s="11">
        <v>0.03</v>
      </c>
      <c r="O340" s="12">
        <v>1.6E-2</v>
      </c>
      <c r="P340" s="11">
        <v>3.6999999999999998E-2</v>
      </c>
      <c r="Q340" s="35">
        <v>-28.985818256963164</v>
      </c>
      <c r="R340" s="12">
        <v>1.843764280704991</v>
      </c>
      <c r="S340" s="10">
        <v>0</v>
      </c>
      <c r="T340" s="10">
        <v>0</v>
      </c>
      <c r="U340" s="22">
        <v>1</v>
      </c>
      <c r="V340" s="10">
        <v>16</v>
      </c>
      <c r="W340" s="10">
        <v>0</v>
      </c>
      <c r="X340" s="40">
        <v>31.609398317298975</v>
      </c>
      <c r="Y340" s="39">
        <v>1.975587394831186</v>
      </c>
      <c r="Z340" s="15">
        <v>8.299999999999999E-2</v>
      </c>
      <c r="AA340" s="10">
        <v>13.264818256963162</v>
      </c>
      <c r="AB340" s="10">
        <v>216.32003999999995</v>
      </c>
      <c r="AC340" s="43">
        <v>0</v>
      </c>
      <c r="AD340" s="43">
        <v>0</v>
      </c>
      <c r="AE340" s="44">
        <v>1904.7619047619048</v>
      </c>
      <c r="AF340" s="10">
        <v>1981.4399999999996</v>
      </c>
      <c r="AG340" s="10">
        <v>5289.020919999999</v>
      </c>
      <c r="AH340" s="12">
        <v>0</v>
      </c>
      <c r="AI340" s="10">
        <v>9378.6163522012575</v>
      </c>
      <c r="AJ340" s="10">
        <v>3886.2019047619042</v>
      </c>
      <c r="AK340" s="5" t="s">
        <v>113</v>
      </c>
      <c r="AL340" s="5" t="s">
        <v>113</v>
      </c>
      <c r="AM340" s="4" t="s">
        <v>145</v>
      </c>
    </row>
    <row r="341" spans="1:39" x14ac:dyDescent="0.35">
      <c r="A341" s="5" t="s">
        <v>108</v>
      </c>
      <c r="B341" s="9" t="s">
        <v>59</v>
      </c>
      <c r="C341" s="5" t="s">
        <v>113</v>
      </c>
      <c r="D341" s="9" t="s">
        <v>59</v>
      </c>
      <c r="E341" s="16">
        <v>0</v>
      </c>
      <c r="F341" s="24">
        <v>0</v>
      </c>
      <c r="G341" s="53">
        <v>0</v>
      </c>
      <c r="H341" s="10">
        <v>0</v>
      </c>
      <c r="I341" s="10">
        <v>0</v>
      </c>
      <c r="J341" s="10">
        <v>0</v>
      </c>
      <c r="K341" s="10">
        <v>0</v>
      </c>
      <c r="L341" s="10">
        <v>0</v>
      </c>
      <c r="M341" s="10">
        <v>0</v>
      </c>
      <c r="N341" s="11">
        <v>0</v>
      </c>
      <c r="O341" s="12">
        <v>1.6E-2</v>
      </c>
      <c r="P341" s="11">
        <v>3.6999999999999998E-2</v>
      </c>
      <c r="Q341" s="35">
        <v>0</v>
      </c>
      <c r="R341" s="12">
        <v>0</v>
      </c>
      <c r="S341" s="10">
        <v>0</v>
      </c>
      <c r="T341" s="10">
        <v>0</v>
      </c>
      <c r="U341" s="22">
        <v>1</v>
      </c>
      <c r="V341" s="10">
        <v>0</v>
      </c>
      <c r="W341" s="10">
        <v>0</v>
      </c>
      <c r="X341" s="40">
        <v>0</v>
      </c>
      <c r="Y341" s="39">
        <v>0</v>
      </c>
      <c r="Z341" s="15">
        <v>5.2999999999999999E-2</v>
      </c>
      <c r="AA341" s="10">
        <v>0</v>
      </c>
      <c r="AB341" s="10">
        <v>216.32003999999995</v>
      </c>
      <c r="AC341" s="43">
        <v>0</v>
      </c>
      <c r="AD341" s="43">
        <v>0</v>
      </c>
      <c r="AE341" s="44">
        <v>0</v>
      </c>
      <c r="AF341" s="10">
        <v>0</v>
      </c>
      <c r="AG341" s="10">
        <v>5289.020919999999</v>
      </c>
      <c r="AH341" s="12">
        <v>0</v>
      </c>
      <c r="AI341" s="10">
        <v>0</v>
      </c>
      <c r="AJ341" s="10">
        <v>0</v>
      </c>
      <c r="AK341" s="5" t="s">
        <v>113</v>
      </c>
      <c r="AL341" s="5" t="s">
        <v>113</v>
      </c>
      <c r="AM341" s="4" t="s">
        <v>145</v>
      </c>
    </row>
    <row r="342" spans="1:39" x14ac:dyDescent="0.35">
      <c r="A342" s="5" t="s">
        <v>108</v>
      </c>
      <c r="B342" s="9" t="s">
        <v>13</v>
      </c>
      <c r="C342" s="5" t="s">
        <v>113</v>
      </c>
      <c r="D342" s="9" t="s">
        <v>13</v>
      </c>
      <c r="E342" s="16">
        <v>0.5478143028613468</v>
      </c>
      <c r="F342" s="24">
        <v>10.3308</v>
      </c>
      <c r="G342" s="53">
        <v>0</v>
      </c>
      <c r="H342" s="10">
        <v>10.3308</v>
      </c>
      <c r="I342" s="10">
        <v>10.14144810530099</v>
      </c>
      <c r="J342" s="10">
        <v>5.6593600000000013</v>
      </c>
      <c r="K342" s="10">
        <v>2.9308176100628929</v>
      </c>
      <c r="L342" s="10">
        <v>1.0037380952380952</v>
      </c>
      <c r="M342" s="10">
        <v>0.54753240000000003</v>
      </c>
      <c r="N342" s="11">
        <v>0</v>
      </c>
      <c r="O342" s="12">
        <v>1.6E-2</v>
      </c>
      <c r="P342" s="11">
        <v>3.6999999999999998E-2</v>
      </c>
      <c r="Q342" s="35">
        <v>0.18935189469901026</v>
      </c>
      <c r="R342" s="12">
        <v>1.8328870435882046E-2</v>
      </c>
      <c r="S342" s="10">
        <v>0</v>
      </c>
      <c r="T342" s="10">
        <v>0</v>
      </c>
      <c r="U342" s="22">
        <v>1</v>
      </c>
      <c r="V342" s="10">
        <v>5</v>
      </c>
      <c r="W342" s="10">
        <v>0</v>
      </c>
      <c r="X342" s="40">
        <v>9.8564546112341276</v>
      </c>
      <c r="Y342" s="39">
        <v>1.9712909222468256</v>
      </c>
      <c r="Z342" s="15">
        <v>0.60081430286134685</v>
      </c>
      <c r="AA342" s="10">
        <v>3.9345557053009879</v>
      </c>
      <c r="AB342" s="10">
        <v>216.32003999999995</v>
      </c>
      <c r="AC342" s="43">
        <v>4.7757017796409444E-2</v>
      </c>
      <c r="AD342" s="43">
        <v>1.9532537602441552E-3</v>
      </c>
      <c r="AE342" s="44">
        <v>595.2380952380953</v>
      </c>
      <c r="AF342" s="10">
        <v>408.5</v>
      </c>
      <c r="AG342" s="10">
        <v>5289.020919999999</v>
      </c>
      <c r="AH342" s="12">
        <v>1.9532537602441552E-3</v>
      </c>
      <c r="AI342" s="10">
        <v>2930.817610062893</v>
      </c>
      <c r="AJ342" s="10">
        <v>1003.7380952380953</v>
      </c>
      <c r="AK342" s="5" t="s">
        <v>113</v>
      </c>
      <c r="AL342" s="5" t="s">
        <v>113</v>
      </c>
      <c r="AM342" s="4" t="s">
        <v>145</v>
      </c>
    </row>
    <row r="343" spans="1:39" x14ac:dyDescent="0.35">
      <c r="A343" s="5" t="s">
        <v>108</v>
      </c>
      <c r="B343" s="9" t="s">
        <v>14</v>
      </c>
      <c r="C343" s="5" t="s">
        <v>113</v>
      </c>
      <c r="D343" s="9" t="s">
        <v>14</v>
      </c>
      <c r="E343" s="16">
        <v>0</v>
      </c>
      <c r="F343" s="24">
        <v>0</v>
      </c>
      <c r="G343" s="53">
        <v>7.2221899999999994</v>
      </c>
      <c r="H343" s="10">
        <v>-7.2221899999999994</v>
      </c>
      <c r="I343" s="10">
        <v>9.8300857095569096</v>
      </c>
      <c r="J343" s="10">
        <v>0</v>
      </c>
      <c r="K343" s="10">
        <v>6.4477987421383638</v>
      </c>
      <c r="L343" s="10">
        <v>3.3822869674185463</v>
      </c>
      <c r="M343" s="10">
        <v>0</v>
      </c>
      <c r="N343" s="11">
        <v>0.03</v>
      </c>
      <c r="O343" s="12">
        <v>1.6E-2</v>
      </c>
      <c r="P343" s="11">
        <v>3.6999999999999998E-2</v>
      </c>
      <c r="Q343" s="35">
        <v>-17.052275709556909</v>
      </c>
      <c r="R343" s="12">
        <v>2.3610948631311155</v>
      </c>
      <c r="S343" s="10">
        <v>0</v>
      </c>
      <c r="T343" s="10">
        <v>0</v>
      </c>
      <c r="U343" s="22">
        <v>1</v>
      </c>
      <c r="V343" s="10">
        <v>11</v>
      </c>
      <c r="W343" s="10">
        <v>0</v>
      </c>
      <c r="X343" s="40">
        <v>18.595720512057696</v>
      </c>
      <c r="Y343" s="39">
        <v>1.6905200465506995</v>
      </c>
      <c r="Z343" s="15">
        <v>8.299999999999999E-2</v>
      </c>
      <c r="AA343" s="10">
        <v>9.8300857095569096</v>
      </c>
      <c r="AB343" s="10">
        <v>216.32003999999995</v>
      </c>
      <c r="AC343" s="43">
        <v>0</v>
      </c>
      <c r="AD343" s="43">
        <v>0</v>
      </c>
      <c r="AE343" s="44">
        <v>1309.5238095238096</v>
      </c>
      <c r="AF343" s="10">
        <v>2072.7631578947367</v>
      </c>
      <c r="AG343" s="10">
        <v>5289.020919999999</v>
      </c>
      <c r="AH343" s="12">
        <v>0</v>
      </c>
      <c r="AI343" s="10">
        <v>6447.7987421383641</v>
      </c>
      <c r="AJ343" s="10">
        <v>3382.2869674185463</v>
      </c>
      <c r="AK343" s="5" t="s">
        <v>113</v>
      </c>
      <c r="AL343" s="5" t="s">
        <v>113</v>
      </c>
      <c r="AM343" s="4" t="s">
        <v>145</v>
      </c>
    </row>
    <row r="344" spans="1:39" x14ac:dyDescent="0.35">
      <c r="A344" s="5" t="s">
        <v>108</v>
      </c>
      <c r="B344" s="9" t="s">
        <v>118</v>
      </c>
      <c r="C344" s="5" t="s">
        <v>113</v>
      </c>
      <c r="D344" s="9" t="s">
        <v>118</v>
      </c>
      <c r="E344" s="16">
        <v>0</v>
      </c>
      <c r="F344" s="24">
        <v>0</v>
      </c>
      <c r="G344" s="53">
        <v>0</v>
      </c>
      <c r="H344" s="10">
        <v>0</v>
      </c>
      <c r="I344" s="10">
        <v>0.70521114106019767</v>
      </c>
      <c r="J344" s="10">
        <v>0</v>
      </c>
      <c r="K344" s="10">
        <v>0.5861635220125786</v>
      </c>
      <c r="L344" s="10">
        <v>0.11904761904761905</v>
      </c>
      <c r="M344" s="10">
        <v>0</v>
      </c>
      <c r="N344" s="11">
        <v>0</v>
      </c>
      <c r="O344" s="12">
        <v>1.6E-2</v>
      </c>
      <c r="P344" s="11">
        <v>3.6999999999999998E-2</v>
      </c>
      <c r="Q344" s="35">
        <v>-0.70521114106019767</v>
      </c>
      <c r="R344" s="12">
        <v>0</v>
      </c>
      <c r="S344" s="10">
        <v>0</v>
      </c>
      <c r="T344" s="10">
        <v>0</v>
      </c>
      <c r="U344" s="22">
        <v>1</v>
      </c>
      <c r="V344" s="10">
        <v>1</v>
      </c>
      <c r="W344" s="10">
        <v>0</v>
      </c>
      <c r="X344" s="40">
        <v>0.7446791352272415</v>
      </c>
      <c r="Y344" s="39">
        <v>0.7446791352272415</v>
      </c>
      <c r="Z344" s="15">
        <v>5.2999999999999999E-2</v>
      </c>
      <c r="AA344" s="10">
        <v>0.70521114106019767</v>
      </c>
      <c r="AB344" s="10">
        <v>216.32003999999995</v>
      </c>
      <c r="AC344" s="43">
        <v>0</v>
      </c>
      <c r="AD344" s="43">
        <v>0</v>
      </c>
      <c r="AE344" s="44">
        <v>119.04761904761905</v>
      </c>
      <c r="AF344" s="10">
        <v>0</v>
      </c>
      <c r="AG344" s="10">
        <v>5289.020919999999</v>
      </c>
      <c r="AH344" s="12">
        <v>0</v>
      </c>
      <c r="AI344" s="10">
        <v>586.1635220125786</v>
      </c>
      <c r="AJ344" s="10">
        <v>119.04761904761905</v>
      </c>
      <c r="AK344" s="5" t="s">
        <v>113</v>
      </c>
      <c r="AL344" s="5" t="s">
        <v>113</v>
      </c>
      <c r="AM344" s="4" t="s">
        <v>145</v>
      </c>
    </row>
    <row r="345" spans="1:39" x14ac:dyDescent="0.35">
      <c r="A345" s="5" t="s">
        <v>108</v>
      </c>
      <c r="B345" s="9" t="s">
        <v>16</v>
      </c>
      <c r="C345" s="5" t="s">
        <v>113</v>
      </c>
      <c r="D345" s="9" t="s">
        <v>16</v>
      </c>
      <c r="E345" s="16">
        <v>0</v>
      </c>
      <c r="F345" s="24">
        <v>0</v>
      </c>
      <c r="G345" s="53">
        <v>0</v>
      </c>
      <c r="H345" s="10">
        <v>0</v>
      </c>
      <c r="I345" s="10">
        <v>4.226055705300988</v>
      </c>
      <c r="J345" s="10">
        <v>0</v>
      </c>
      <c r="K345" s="10">
        <v>2.9308176100628929</v>
      </c>
      <c r="L345" s="10">
        <v>1.2952380952380955</v>
      </c>
      <c r="M345" s="10">
        <v>0</v>
      </c>
      <c r="N345" s="11">
        <v>0</v>
      </c>
      <c r="O345" s="12">
        <v>1.6E-2</v>
      </c>
      <c r="P345" s="11">
        <v>3.6999999999999998E-2</v>
      </c>
      <c r="Q345" s="35">
        <v>-4.226055705300988</v>
      </c>
      <c r="R345" s="12">
        <v>0</v>
      </c>
      <c r="S345" s="10">
        <v>0</v>
      </c>
      <c r="T345" s="10">
        <v>0</v>
      </c>
      <c r="U345" s="22">
        <v>1</v>
      </c>
      <c r="V345" s="10">
        <v>5</v>
      </c>
      <c r="W345" s="10">
        <v>0</v>
      </c>
      <c r="X345" s="40">
        <v>4.4625720224931236</v>
      </c>
      <c r="Y345" s="39">
        <v>0.89251440449862474</v>
      </c>
      <c r="Z345" s="15">
        <v>5.2999999999999999E-2</v>
      </c>
      <c r="AA345" s="10">
        <v>4.226055705300988</v>
      </c>
      <c r="AB345" s="10">
        <v>216.32003999999995</v>
      </c>
      <c r="AC345" s="43">
        <v>0</v>
      </c>
      <c r="AD345" s="43">
        <v>0</v>
      </c>
      <c r="AE345" s="44">
        <v>595.2380952380953</v>
      </c>
      <c r="AF345" s="10">
        <v>700</v>
      </c>
      <c r="AG345" s="10">
        <v>5289.020919999999</v>
      </c>
      <c r="AH345" s="12">
        <v>0</v>
      </c>
      <c r="AI345" s="10">
        <v>2930.817610062893</v>
      </c>
      <c r="AJ345" s="10">
        <v>1295.2380952380954</v>
      </c>
      <c r="AK345" s="5" t="s">
        <v>113</v>
      </c>
      <c r="AL345" s="5" t="s">
        <v>113</v>
      </c>
      <c r="AM345" s="4" t="s">
        <v>145</v>
      </c>
    </row>
    <row r="346" spans="1:39" x14ac:dyDescent="0.35">
      <c r="A346" s="5" t="s">
        <v>108</v>
      </c>
      <c r="B346" s="9" t="s">
        <v>17</v>
      </c>
      <c r="C346" s="5" t="s">
        <v>113</v>
      </c>
      <c r="D346" s="9" t="s">
        <v>17</v>
      </c>
      <c r="E346" s="16">
        <v>0</v>
      </c>
      <c r="F346" s="24">
        <v>0</v>
      </c>
      <c r="G346" s="53">
        <v>0</v>
      </c>
      <c r="H346" s="10">
        <v>0</v>
      </c>
      <c r="I346" s="10">
        <v>1.6604222821203953</v>
      </c>
      <c r="J346" s="10">
        <v>0</v>
      </c>
      <c r="K346" s="10">
        <v>1.1723270440251572</v>
      </c>
      <c r="L346" s="10">
        <v>0.48809523809523808</v>
      </c>
      <c r="M346" s="10">
        <v>0</v>
      </c>
      <c r="N346" s="11">
        <v>0</v>
      </c>
      <c r="O346" s="12">
        <v>1.6E-2</v>
      </c>
      <c r="P346" s="11">
        <v>3.6999999999999998E-2</v>
      </c>
      <c r="Q346" s="35">
        <v>-1.6604222821203953</v>
      </c>
      <c r="R346" s="12">
        <v>0</v>
      </c>
      <c r="S346" s="10">
        <v>0</v>
      </c>
      <c r="T346" s="10">
        <v>0</v>
      </c>
      <c r="U346" s="22">
        <v>1</v>
      </c>
      <c r="V346" s="10">
        <v>2</v>
      </c>
      <c r="W346" s="10">
        <v>0</v>
      </c>
      <c r="X346" s="40">
        <v>1.7533498227248103</v>
      </c>
      <c r="Y346" s="39">
        <v>0.87667491136240516</v>
      </c>
      <c r="Z346" s="15">
        <v>5.2999999999999999E-2</v>
      </c>
      <c r="AA346" s="10">
        <v>1.6604222821203953</v>
      </c>
      <c r="AB346" s="10">
        <v>216.32003999999995</v>
      </c>
      <c r="AC346" s="43">
        <v>0</v>
      </c>
      <c r="AD346" s="43">
        <v>0</v>
      </c>
      <c r="AE346" s="44">
        <v>238.0952380952381</v>
      </c>
      <c r="AF346" s="10">
        <v>250</v>
      </c>
      <c r="AG346" s="10">
        <v>5289.020919999999</v>
      </c>
      <c r="AH346" s="12">
        <v>0</v>
      </c>
      <c r="AI346" s="10">
        <v>1172.3270440251572</v>
      </c>
      <c r="AJ346" s="10">
        <v>488.09523809523807</v>
      </c>
      <c r="AK346" s="5" t="s">
        <v>113</v>
      </c>
      <c r="AL346" s="5" t="s">
        <v>113</v>
      </c>
      <c r="AM346" s="4" t="s">
        <v>145</v>
      </c>
    </row>
    <row r="347" spans="1:39" x14ac:dyDescent="0.35">
      <c r="A347" s="5" t="s">
        <v>108</v>
      </c>
      <c r="B347" s="9" t="s">
        <v>60</v>
      </c>
      <c r="C347" s="5" t="s">
        <v>113</v>
      </c>
      <c r="D347" s="9" t="s">
        <v>60</v>
      </c>
      <c r="E347" s="16">
        <v>0</v>
      </c>
      <c r="F347" s="24">
        <v>0</v>
      </c>
      <c r="G347" s="53">
        <v>0</v>
      </c>
      <c r="H347" s="10">
        <v>0</v>
      </c>
      <c r="I347" s="10">
        <v>0</v>
      </c>
      <c r="J347" s="10">
        <v>0</v>
      </c>
      <c r="K347" s="10">
        <v>0</v>
      </c>
      <c r="L347" s="10">
        <v>0</v>
      </c>
      <c r="M347" s="10">
        <v>0</v>
      </c>
      <c r="N347" s="11">
        <v>0</v>
      </c>
      <c r="O347" s="12">
        <v>1.6E-2</v>
      </c>
      <c r="P347" s="11">
        <v>3.6999999999999998E-2</v>
      </c>
      <c r="Q347" s="35">
        <v>0</v>
      </c>
      <c r="R347" s="12">
        <v>0</v>
      </c>
      <c r="S347" s="10">
        <v>0</v>
      </c>
      <c r="T347" s="10">
        <v>0</v>
      </c>
      <c r="U347" s="22">
        <v>1</v>
      </c>
      <c r="V347" s="10">
        <v>0</v>
      </c>
      <c r="W347" s="10">
        <v>0</v>
      </c>
      <c r="X347" s="40">
        <v>0</v>
      </c>
      <c r="Y347" s="39">
        <v>0</v>
      </c>
      <c r="Z347" s="15">
        <v>5.2999999999999999E-2</v>
      </c>
      <c r="AA347" s="10">
        <v>0</v>
      </c>
      <c r="AB347" s="10">
        <v>216.32003999999995</v>
      </c>
      <c r="AC347" s="43">
        <v>0</v>
      </c>
      <c r="AD347" s="43">
        <v>0</v>
      </c>
      <c r="AE347" s="44">
        <v>0</v>
      </c>
      <c r="AF347" s="10">
        <v>0</v>
      </c>
      <c r="AG347" s="10">
        <v>5289.020919999999</v>
      </c>
      <c r="AH347" s="12">
        <v>0</v>
      </c>
      <c r="AI347" s="10">
        <v>0</v>
      </c>
      <c r="AJ347" s="10">
        <v>0</v>
      </c>
      <c r="AK347" s="5" t="s">
        <v>113</v>
      </c>
      <c r="AL347" s="5" t="s">
        <v>113</v>
      </c>
      <c r="AM347" s="4" t="s">
        <v>145</v>
      </c>
    </row>
    <row r="348" spans="1:39" x14ac:dyDescent="0.35">
      <c r="A348" s="5" t="s">
        <v>108</v>
      </c>
      <c r="B348" s="9" t="s">
        <v>18</v>
      </c>
      <c r="C348" s="5" t="s">
        <v>113</v>
      </c>
      <c r="D348" s="9" t="s">
        <v>18</v>
      </c>
      <c r="E348" s="16">
        <v>0.51786012004001325</v>
      </c>
      <c r="F348" s="24">
        <v>9.5968</v>
      </c>
      <c r="G348" s="53">
        <v>0</v>
      </c>
      <c r="H348" s="10">
        <v>9.5968</v>
      </c>
      <c r="I348" s="10">
        <v>12.028620387421384</v>
      </c>
      <c r="J348" s="10">
        <v>4.9697999999999993</v>
      </c>
      <c r="K348" s="10">
        <v>4.1031446540880498</v>
      </c>
      <c r="L348" s="10">
        <v>1.5833333333333335</v>
      </c>
      <c r="M348" s="10">
        <v>1.3723424</v>
      </c>
      <c r="N348" s="11">
        <v>0.09</v>
      </c>
      <c r="O348" s="12">
        <v>1.6E-2</v>
      </c>
      <c r="P348" s="11">
        <v>3.6999999999999998E-2</v>
      </c>
      <c r="Q348" s="35">
        <v>-2.431820387421384</v>
      </c>
      <c r="R348" s="12">
        <v>-0.25339909005307854</v>
      </c>
      <c r="S348" s="10">
        <v>0</v>
      </c>
      <c r="T348" s="10">
        <v>0</v>
      </c>
      <c r="U348" s="22">
        <v>1</v>
      </c>
      <c r="V348" s="10">
        <v>7</v>
      </c>
      <c r="W348" s="10">
        <v>0.86371199999999992</v>
      </c>
      <c r="X348" s="40">
        <v>16.767352716207544</v>
      </c>
      <c r="Y348" s="39">
        <v>2.3953361023153632</v>
      </c>
      <c r="Z348" s="15">
        <v>0.66086012004001327</v>
      </c>
      <c r="AA348" s="10">
        <v>5.6864779874213838</v>
      </c>
      <c r="AB348" s="10">
        <v>216.32003999999995</v>
      </c>
      <c r="AC348" s="43">
        <v>4.4363897122060451E-2</v>
      </c>
      <c r="AD348" s="43">
        <v>1.8144757120756485E-3</v>
      </c>
      <c r="AE348" s="44">
        <v>833.33333333333337</v>
      </c>
      <c r="AF348" s="10">
        <v>750</v>
      </c>
      <c r="AG348" s="10">
        <v>5289.020919999999</v>
      </c>
      <c r="AH348" s="12">
        <v>1.8144757120756485E-3</v>
      </c>
      <c r="AI348" s="10">
        <v>4103.1446540880497</v>
      </c>
      <c r="AJ348" s="10">
        <v>1583.3333333333335</v>
      </c>
      <c r="AK348" s="5" t="s">
        <v>113</v>
      </c>
      <c r="AL348" s="5" t="s">
        <v>113</v>
      </c>
      <c r="AM348" s="4" t="s">
        <v>145</v>
      </c>
    </row>
    <row r="349" spans="1:39" x14ac:dyDescent="0.35">
      <c r="A349" s="5" t="s">
        <v>108</v>
      </c>
      <c r="B349" s="9" t="s">
        <v>61</v>
      </c>
      <c r="C349" s="5" t="s">
        <v>113</v>
      </c>
      <c r="D349" s="9" t="s">
        <v>61</v>
      </c>
      <c r="E349" s="16">
        <v>0</v>
      </c>
      <c r="F349" s="24">
        <v>0</v>
      </c>
      <c r="G349" s="53">
        <v>0</v>
      </c>
      <c r="H349" s="10">
        <v>0</v>
      </c>
      <c r="I349" s="10">
        <v>0</v>
      </c>
      <c r="J349" s="10">
        <v>0</v>
      </c>
      <c r="K349" s="10">
        <v>0</v>
      </c>
      <c r="L349" s="10">
        <v>0</v>
      </c>
      <c r="M349" s="10">
        <v>0</v>
      </c>
      <c r="N349" s="11">
        <v>0</v>
      </c>
      <c r="O349" s="12">
        <v>1.6E-2</v>
      </c>
      <c r="P349" s="11">
        <v>3.6999999999999998E-2</v>
      </c>
      <c r="Q349" s="35">
        <v>0</v>
      </c>
      <c r="R349" s="12">
        <v>0</v>
      </c>
      <c r="S349" s="10">
        <v>0</v>
      </c>
      <c r="T349" s="10">
        <v>0</v>
      </c>
      <c r="U349" s="22">
        <v>1</v>
      </c>
      <c r="V349" s="10">
        <v>0</v>
      </c>
      <c r="W349" s="10">
        <v>0</v>
      </c>
      <c r="X349" s="40">
        <v>0</v>
      </c>
      <c r="Y349" s="39">
        <v>0</v>
      </c>
      <c r="Z349" s="15">
        <v>5.2999999999999999E-2</v>
      </c>
      <c r="AA349" s="10">
        <v>0</v>
      </c>
      <c r="AB349" s="10">
        <v>216.32003999999995</v>
      </c>
      <c r="AC349" s="43">
        <v>0</v>
      </c>
      <c r="AD349" s="43">
        <v>0</v>
      </c>
      <c r="AE349" s="44">
        <v>0</v>
      </c>
      <c r="AF349" s="10">
        <v>0</v>
      </c>
      <c r="AG349" s="10">
        <v>5289.020919999999</v>
      </c>
      <c r="AH349" s="12">
        <v>0</v>
      </c>
      <c r="AI349" s="10">
        <v>0</v>
      </c>
      <c r="AJ349" s="10">
        <v>0</v>
      </c>
      <c r="AK349" s="5" t="s">
        <v>113</v>
      </c>
      <c r="AL349" s="5" t="s">
        <v>113</v>
      </c>
      <c r="AM349" s="4" t="s">
        <v>145</v>
      </c>
    </row>
    <row r="350" spans="1:39" x14ac:dyDescent="0.35">
      <c r="A350" s="5" t="s">
        <v>108</v>
      </c>
      <c r="B350" s="9" t="s">
        <v>135</v>
      </c>
      <c r="C350" s="5" t="s">
        <v>113</v>
      </c>
      <c r="D350" s="9" t="s">
        <v>117</v>
      </c>
      <c r="E350" s="16">
        <v>0</v>
      </c>
      <c r="F350" s="24">
        <v>0</v>
      </c>
      <c r="G350" s="53">
        <v>1.615</v>
      </c>
      <c r="H350" s="10">
        <v>-1.615</v>
      </c>
      <c r="I350" s="10">
        <v>0</v>
      </c>
      <c r="J350" s="10">
        <v>0</v>
      </c>
      <c r="K350" s="10">
        <v>0</v>
      </c>
      <c r="L350" s="10">
        <v>0</v>
      </c>
      <c r="M350" s="10">
        <v>0</v>
      </c>
      <c r="N350" s="11">
        <v>0</v>
      </c>
      <c r="O350" s="12">
        <v>1.6E-2</v>
      </c>
      <c r="P350" s="11">
        <v>3.6999999999999998E-2</v>
      </c>
      <c r="Q350" s="35">
        <v>-1.615</v>
      </c>
      <c r="R350" s="12">
        <v>1</v>
      </c>
      <c r="S350" s="10">
        <v>0</v>
      </c>
      <c r="T350" s="10">
        <v>0</v>
      </c>
      <c r="U350" s="22">
        <v>1</v>
      </c>
      <c r="V350" s="10">
        <v>0</v>
      </c>
      <c r="W350" s="10">
        <v>0</v>
      </c>
      <c r="X350" s="40">
        <v>1.7053854276663147</v>
      </c>
      <c r="Y350" s="39">
        <v>1.7053854276663147</v>
      </c>
      <c r="Z350" s="15">
        <v>5.2999999999999999E-2</v>
      </c>
      <c r="AA350" s="10">
        <v>0</v>
      </c>
      <c r="AB350" s="10">
        <v>216.32003999999995</v>
      </c>
      <c r="AC350" s="43">
        <v>0</v>
      </c>
      <c r="AD350" s="43">
        <v>0</v>
      </c>
      <c r="AE350" s="44">
        <v>0</v>
      </c>
      <c r="AF350" s="10">
        <v>0</v>
      </c>
      <c r="AG350" s="10">
        <v>5289.020919999999</v>
      </c>
      <c r="AH350" s="12">
        <v>0</v>
      </c>
      <c r="AI350" s="10">
        <v>0</v>
      </c>
      <c r="AJ350" s="10">
        <v>0</v>
      </c>
      <c r="AK350" s="5" t="s">
        <v>113</v>
      </c>
      <c r="AL350" s="5" t="s">
        <v>113</v>
      </c>
      <c r="AM350" s="4" t="s">
        <v>145</v>
      </c>
    </row>
    <row r="351" spans="1:39" x14ac:dyDescent="0.35">
      <c r="A351" s="5" t="s">
        <v>108</v>
      </c>
      <c r="B351" s="9" t="s">
        <v>65</v>
      </c>
      <c r="C351" s="5" t="s">
        <v>113</v>
      </c>
      <c r="D351" s="9" t="s">
        <v>65</v>
      </c>
      <c r="E351" s="16">
        <v>0.61282880600728296</v>
      </c>
      <c r="F351" s="24">
        <v>88.425999999999974</v>
      </c>
      <c r="G351" s="53">
        <v>0</v>
      </c>
      <c r="H351" s="10">
        <v>88.425999999999974</v>
      </c>
      <c r="I351" s="10">
        <v>63.876577999999981</v>
      </c>
      <c r="J351" s="10">
        <v>54.189999999999984</v>
      </c>
      <c r="K351" s="10">
        <v>5</v>
      </c>
      <c r="L351" s="10">
        <v>0</v>
      </c>
      <c r="M351" s="10">
        <v>4.6865779999999981</v>
      </c>
      <c r="N351" s="11">
        <v>0</v>
      </c>
      <c r="O351" s="12">
        <v>1.6E-2</v>
      </c>
      <c r="P351" s="11">
        <v>3.6999999999999998E-2</v>
      </c>
      <c r="Q351" s="35">
        <v>24.549421999999993</v>
      </c>
      <c r="R351" s="12">
        <v>0.27762673874199895</v>
      </c>
      <c r="S351" s="10">
        <v>0</v>
      </c>
      <c r="T351" s="10">
        <v>0</v>
      </c>
      <c r="U351" s="22">
        <v>1</v>
      </c>
      <c r="V351" s="10">
        <v>0</v>
      </c>
      <c r="W351" s="10">
        <v>0</v>
      </c>
      <c r="X351" s="40">
        <v>14.9623908041247</v>
      </c>
      <c r="Y351" s="39">
        <v>14.9623908041247</v>
      </c>
      <c r="Z351" s="15">
        <v>0.665828806007283</v>
      </c>
      <c r="AA351" s="10">
        <v>5</v>
      </c>
      <c r="AB351" s="10">
        <v>216.32003999999995</v>
      </c>
      <c r="AC351" s="43">
        <v>0.40877396287463702</v>
      </c>
      <c r="AD351" s="43">
        <v>1.6718784315188525E-2</v>
      </c>
      <c r="AE351" s="44">
        <v>0</v>
      </c>
      <c r="AF351" s="10">
        <v>0</v>
      </c>
      <c r="AG351" s="10">
        <v>5289.020919999999</v>
      </c>
      <c r="AH351" s="12">
        <v>1.6718784315188525E-2</v>
      </c>
      <c r="AI351" s="10">
        <v>0</v>
      </c>
      <c r="AJ351" s="10">
        <v>0</v>
      </c>
      <c r="AK351" s="5" t="s">
        <v>113</v>
      </c>
      <c r="AL351" s="5" t="s">
        <v>113</v>
      </c>
      <c r="AM351" s="4" t="s">
        <v>145</v>
      </c>
    </row>
    <row r="352" spans="1:39" x14ac:dyDescent="0.35">
      <c r="A352" s="5" t="s">
        <v>108</v>
      </c>
      <c r="B352" s="9" t="s">
        <v>5</v>
      </c>
      <c r="C352" s="5" t="s">
        <v>29</v>
      </c>
      <c r="D352" s="9" t="s">
        <v>5</v>
      </c>
      <c r="E352" s="16">
        <v>0.57004123118228012</v>
      </c>
      <c r="F352" s="24">
        <v>52.144999999999996</v>
      </c>
      <c r="G352" s="53">
        <v>42.822000000000003</v>
      </c>
      <c r="H352" s="10">
        <v>9.3229999999999933</v>
      </c>
      <c r="I352" s="10">
        <v>58.981556192580214</v>
      </c>
      <c r="J352" s="10">
        <v>29.724799999999995</v>
      </c>
      <c r="K352" s="10">
        <v>15.240251572327045</v>
      </c>
      <c r="L352" s="10">
        <v>8.6455696202531662</v>
      </c>
      <c r="M352" s="10">
        <v>5.3709350000000002</v>
      </c>
      <c r="N352" s="11">
        <v>0.05</v>
      </c>
      <c r="O352" s="12">
        <v>1.6E-2</v>
      </c>
      <c r="P352" s="11">
        <v>3.6999999999999998E-2</v>
      </c>
      <c r="Q352" s="35">
        <v>-49.658556192580221</v>
      </c>
      <c r="R352" s="12">
        <v>-5.3264567405964023</v>
      </c>
      <c r="S352" s="10">
        <v>24.4103056016876</v>
      </c>
      <c r="T352" s="10">
        <v>0.8212100872566882</v>
      </c>
      <c r="U352" s="22">
        <v>1</v>
      </c>
      <c r="V352" s="10">
        <v>26</v>
      </c>
      <c r="W352" s="10">
        <v>2.6072500000000001</v>
      </c>
      <c r="X352" s="40">
        <v>204.02517856852447</v>
      </c>
      <c r="Y352" s="39">
        <v>7.8471222526355566</v>
      </c>
      <c r="Z352" s="15">
        <v>0.6730412311822801</v>
      </c>
      <c r="AA352" s="10">
        <v>23.88582119258021</v>
      </c>
      <c r="AB352" s="10">
        <v>2086.1020600000002</v>
      </c>
      <c r="AC352" s="43">
        <v>2.4996380090818754E-2</v>
      </c>
      <c r="AD352" s="43">
        <v>9.8591026181836326E-3</v>
      </c>
      <c r="AE352" s="44">
        <v>1645.5696202531647</v>
      </c>
      <c r="AF352" s="10">
        <v>7000</v>
      </c>
      <c r="AG352" s="10">
        <v>5289.020919999999</v>
      </c>
      <c r="AH352" s="12">
        <v>9.8591026181836326E-3</v>
      </c>
      <c r="AI352" s="10">
        <v>15240.251572327044</v>
      </c>
      <c r="AJ352" s="10">
        <v>8645.5696202531653</v>
      </c>
      <c r="AK352" s="5" t="s">
        <v>29</v>
      </c>
      <c r="AL352" s="5" t="s">
        <v>29</v>
      </c>
      <c r="AM352" s="4" t="s">
        <v>145</v>
      </c>
    </row>
    <row r="353" spans="1:39" x14ac:dyDescent="0.35">
      <c r="A353" s="5" t="s">
        <v>108</v>
      </c>
      <c r="B353" s="9" t="s">
        <v>6</v>
      </c>
      <c r="C353" s="5" t="s">
        <v>29</v>
      </c>
      <c r="D353" s="9" t="s">
        <v>6</v>
      </c>
      <c r="E353" s="16">
        <v>0.51781977078462182</v>
      </c>
      <c r="F353" s="24">
        <v>104.35600000000004</v>
      </c>
      <c r="G353" s="53">
        <v>0</v>
      </c>
      <c r="H353" s="10">
        <v>104.35600000000004</v>
      </c>
      <c r="I353" s="10">
        <v>86.074270547567892</v>
      </c>
      <c r="J353" s="10">
        <v>54.037600000000012</v>
      </c>
      <c r="K353" s="10">
        <v>12.895597484276728</v>
      </c>
      <c r="L353" s="10">
        <v>8.3924050632911378</v>
      </c>
      <c r="M353" s="10">
        <v>10.748668000000004</v>
      </c>
      <c r="N353" s="11">
        <v>0.05</v>
      </c>
      <c r="O353" s="12">
        <v>1.6E-2</v>
      </c>
      <c r="P353" s="11">
        <v>3.6999999999999998E-2</v>
      </c>
      <c r="Q353" s="35">
        <v>18.281729452432145</v>
      </c>
      <c r="R353" s="12">
        <v>0.17518618433470179</v>
      </c>
      <c r="S353" s="10">
        <v>0</v>
      </c>
      <c r="T353" s="10">
        <v>0</v>
      </c>
      <c r="U353" s="22">
        <v>1</v>
      </c>
      <c r="V353" s="10">
        <v>22</v>
      </c>
      <c r="W353" s="10">
        <v>5.2178000000000022</v>
      </c>
      <c r="X353" s="40">
        <v>56.142174373432489</v>
      </c>
      <c r="Y353" s="39">
        <v>2.5519170169742043</v>
      </c>
      <c r="Z353" s="15">
        <v>0.6208197707846218</v>
      </c>
      <c r="AA353" s="10">
        <v>21.288002547567864</v>
      </c>
      <c r="AB353" s="10">
        <v>2086.1020600000002</v>
      </c>
      <c r="AC353" s="43">
        <v>5.0024398135151658E-2</v>
      </c>
      <c r="AD353" s="43">
        <v>1.9730683916447819E-2</v>
      </c>
      <c r="AE353" s="44">
        <v>1392.4050632911394</v>
      </c>
      <c r="AF353" s="10">
        <v>7000</v>
      </c>
      <c r="AG353" s="10">
        <v>5289.020919999999</v>
      </c>
      <c r="AH353" s="12">
        <v>1.9730683916447819E-2</v>
      </c>
      <c r="AI353" s="10">
        <v>12895.597484276728</v>
      </c>
      <c r="AJ353" s="10">
        <v>8392.4050632911385</v>
      </c>
      <c r="AK353" s="5" t="s">
        <v>29</v>
      </c>
      <c r="AL353" s="5" t="s">
        <v>29</v>
      </c>
      <c r="AM353" s="4" t="s">
        <v>145</v>
      </c>
    </row>
    <row r="354" spans="1:39" x14ac:dyDescent="0.35">
      <c r="A354" s="5" t="s">
        <v>108</v>
      </c>
      <c r="B354" s="9" t="s">
        <v>30</v>
      </c>
      <c r="C354" s="5" t="s">
        <v>29</v>
      </c>
      <c r="D354" s="9" t="s">
        <v>30</v>
      </c>
      <c r="E354" s="16">
        <v>0.5140452510549991</v>
      </c>
      <c r="F354" s="24">
        <v>42.056920000000005</v>
      </c>
      <c r="G354" s="53">
        <v>0</v>
      </c>
      <c r="H354" s="10">
        <v>42.056920000000005</v>
      </c>
      <c r="I354" s="10">
        <v>27.223773182790133</v>
      </c>
      <c r="J354" s="10">
        <v>21.619160000000015</v>
      </c>
      <c r="K354" s="10">
        <v>2.3446540880503144</v>
      </c>
      <c r="L354" s="10">
        <v>1.030942334739803</v>
      </c>
      <c r="M354" s="10">
        <v>2.2290167600000004</v>
      </c>
      <c r="N354" s="11">
        <v>0</v>
      </c>
      <c r="O354" s="12">
        <v>1.6E-2</v>
      </c>
      <c r="P354" s="11">
        <v>3.6999999999999998E-2</v>
      </c>
      <c r="Q354" s="35">
        <v>14.833146817209872</v>
      </c>
      <c r="R354" s="12">
        <v>0.35269218043570166</v>
      </c>
      <c r="S354" s="10">
        <v>0</v>
      </c>
      <c r="T354" s="10">
        <v>0</v>
      </c>
      <c r="U354" s="22">
        <v>1</v>
      </c>
      <c r="V354" s="10">
        <v>4</v>
      </c>
      <c r="W354" s="10">
        <v>0</v>
      </c>
      <c r="X354" s="40">
        <v>7.7966494905427783</v>
      </c>
      <c r="Y354" s="39">
        <v>1.9491623726356946</v>
      </c>
      <c r="Z354" s="15">
        <v>0.56704525105499914</v>
      </c>
      <c r="AA354" s="10">
        <v>3.3755964227901174</v>
      </c>
      <c r="AB354" s="10">
        <v>2086.1020600000002</v>
      </c>
      <c r="AC354" s="43">
        <v>2.0160528483443425E-2</v>
      </c>
      <c r="AD354" s="43">
        <v>7.9517401492902422E-3</v>
      </c>
      <c r="AE354" s="44">
        <v>253.16455696202533</v>
      </c>
      <c r="AF354" s="10">
        <v>777.77777777777783</v>
      </c>
      <c r="AG354" s="10">
        <v>5289.020919999999</v>
      </c>
      <c r="AH354" s="12">
        <v>7.9517401492902422E-3</v>
      </c>
      <c r="AI354" s="10">
        <v>2344.6540880503144</v>
      </c>
      <c r="AJ354" s="10">
        <v>1030.9423347398031</v>
      </c>
      <c r="AK354" s="5" t="s">
        <v>29</v>
      </c>
      <c r="AL354" s="5" t="s">
        <v>29</v>
      </c>
      <c r="AM354" s="4" t="s">
        <v>145</v>
      </c>
    </row>
    <row r="355" spans="1:39" x14ac:dyDescent="0.35">
      <c r="A355" s="5" t="s">
        <v>108</v>
      </c>
      <c r="B355" s="9" t="s">
        <v>33</v>
      </c>
      <c r="C355" s="5" t="s">
        <v>29</v>
      </c>
      <c r="D355" s="9" t="s">
        <v>33</v>
      </c>
      <c r="E355" s="16">
        <v>0.52134564954327212</v>
      </c>
      <c r="F355" s="24">
        <v>85.933600000000169</v>
      </c>
      <c r="G355" s="53">
        <v>33.000000000000007</v>
      </c>
      <c r="H355" s="10">
        <v>52.933600000000162</v>
      </c>
      <c r="I355" s="10">
        <v>67.123781212147364</v>
      </c>
      <c r="J355" s="10">
        <v>44.801108509591813</v>
      </c>
      <c r="K355" s="10">
        <v>10.550943396226415</v>
      </c>
      <c r="L355" s="10">
        <v>4.6392405063291138</v>
      </c>
      <c r="M355" s="10">
        <v>7.1324888000000133</v>
      </c>
      <c r="N355" s="11">
        <v>0.03</v>
      </c>
      <c r="O355" s="12">
        <v>1.6E-2</v>
      </c>
      <c r="P355" s="11">
        <v>3.6999999999999998E-2</v>
      </c>
      <c r="Q355" s="35">
        <v>-14.190181212147202</v>
      </c>
      <c r="R355" s="12">
        <v>-0.26807512075783924</v>
      </c>
      <c r="S355" s="10">
        <v>17.204406434927982</v>
      </c>
      <c r="T355" s="10">
        <v>0.38401742740906863</v>
      </c>
      <c r="U355" s="22">
        <v>1</v>
      </c>
      <c r="V355" s="10">
        <v>18</v>
      </c>
      <c r="W355" s="10">
        <v>2.578008000000005</v>
      </c>
      <c r="X355" s="40">
        <v>121.7986958741302</v>
      </c>
      <c r="Y355" s="39">
        <v>6.766594215229456</v>
      </c>
      <c r="Z355" s="15">
        <v>0.60434564954327208</v>
      </c>
      <c r="AA355" s="10">
        <v>15.190183902555528</v>
      </c>
      <c r="AB355" s="10">
        <v>2086.1020600000002</v>
      </c>
      <c r="AC355" s="43">
        <v>4.1193382456081826E-2</v>
      </c>
      <c r="AD355" s="43">
        <v>1.6247543978328637E-2</v>
      </c>
      <c r="AE355" s="44">
        <v>1139.2405063291139</v>
      </c>
      <c r="AF355" s="10">
        <v>3500</v>
      </c>
      <c r="AG355" s="10">
        <v>5289.020919999999</v>
      </c>
      <c r="AH355" s="12">
        <v>1.6247543978328637E-2</v>
      </c>
      <c r="AI355" s="10">
        <v>10550.943396226416</v>
      </c>
      <c r="AJ355" s="10">
        <v>4639.2405063291135</v>
      </c>
      <c r="AK355" s="5" t="s">
        <v>29</v>
      </c>
      <c r="AL355" s="5" t="s">
        <v>29</v>
      </c>
      <c r="AM355" s="4" t="s">
        <v>145</v>
      </c>
    </row>
    <row r="356" spans="1:39" x14ac:dyDescent="0.35">
      <c r="A356" s="5" t="s">
        <v>108</v>
      </c>
      <c r="B356" s="9" t="s">
        <v>34</v>
      </c>
      <c r="C356" s="5" t="s">
        <v>29</v>
      </c>
      <c r="D356" s="9" t="s">
        <v>34</v>
      </c>
      <c r="E356" s="16">
        <v>0</v>
      </c>
      <c r="F356" s="24">
        <v>0</v>
      </c>
      <c r="G356" s="53">
        <v>35</v>
      </c>
      <c r="H356" s="10">
        <v>-35</v>
      </c>
      <c r="I356" s="10">
        <v>10.247273306265424</v>
      </c>
      <c r="J356" s="10">
        <v>0</v>
      </c>
      <c r="K356" s="10">
        <v>2.9308176100628929</v>
      </c>
      <c r="L356" s="10">
        <v>7.3164556962025316</v>
      </c>
      <c r="M356" s="10">
        <v>0</v>
      </c>
      <c r="N356" s="11">
        <v>0</v>
      </c>
      <c r="O356" s="12">
        <v>1.6E-2</v>
      </c>
      <c r="P356" s="11">
        <v>3.6999999999999998E-2</v>
      </c>
      <c r="Q356" s="35">
        <v>-45.247273306265427</v>
      </c>
      <c r="R356" s="12">
        <v>1.2927792373218694</v>
      </c>
      <c r="S356" s="10">
        <v>0</v>
      </c>
      <c r="T356" s="10">
        <v>0</v>
      </c>
      <c r="U356" s="22">
        <v>1</v>
      </c>
      <c r="V356" s="10">
        <v>5</v>
      </c>
      <c r="W356" s="10">
        <v>0</v>
      </c>
      <c r="X356" s="40">
        <v>47.779591664483021</v>
      </c>
      <c r="Y356" s="39">
        <v>9.5559183328966046</v>
      </c>
      <c r="Z356" s="15">
        <v>5.2999999999999999E-2</v>
      </c>
      <c r="AA356" s="10">
        <v>10.247273306265424</v>
      </c>
      <c r="AB356" s="10">
        <v>2086.1020600000002</v>
      </c>
      <c r="AC356" s="43">
        <v>0</v>
      </c>
      <c r="AD356" s="43">
        <v>0</v>
      </c>
      <c r="AE356" s="44">
        <v>316.45569620253167</v>
      </c>
      <c r="AF356" s="10">
        <v>7000</v>
      </c>
      <c r="AG356" s="10">
        <v>5289.020919999999</v>
      </c>
      <c r="AH356" s="12">
        <v>0</v>
      </c>
      <c r="AI356" s="10">
        <v>2930.817610062893</v>
      </c>
      <c r="AJ356" s="10">
        <v>7316.4556962025317</v>
      </c>
      <c r="AK356" s="5" t="s">
        <v>29</v>
      </c>
      <c r="AL356" s="5" t="s">
        <v>29</v>
      </c>
      <c r="AM356" s="4" t="s">
        <v>145</v>
      </c>
    </row>
    <row r="357" spans="1:39" x14ac:dyDescent="0.35">
      <c r="A357" s="5" t="s">
        <v>108</v>
      </c>
      <c r="B357" s="9" t="s">
        <v>63</v>
      </c>
      <c r="C357" s="5" t="s">
        <v>29</v>
      </c>
      <c r="D357" s="9" t="s">
        <v>63</v>
      </c>
      <c r="E357" s="16">
        <v>0.5622263450834879</v>
      </c>
      <c r="F357" s="24">
        <v>53.793100000000003</v>
      </c>
      <c r="G357" s="53">
        <v>24.303819999999998</v>
      </c>
      <c r="H357" s="10">
        <v>29.489280000000004</v>
      </c>
      <c r="I357" s="10">
        <v>41.948817254988327</v>
      </c>
      <c r="J357" s="10">
        <v>30.243898003710573</v>
      </c>
      <c r="K357" s="10">
        <v>5.2754716981132077</v>
      </c>
      <c r="L357" s="10">
        <v>1.9646202531645569</v>
      </c>
      <c r="M357" s="10">
        <v>4.4648272999999996</v>
      </c>
      <c r="N357" s="11">
        <v>0.03</v>
      </c>
      <c r="O357" s="12">
        <v>1.6E-2</v>
      </c>
      <c r="P357" s="11">
        <v>3.6999999999999998E-2</v>
      </c>
      <c r="Q357" s="35">
        <v>-12.459537254988323</v>
      </c>
      <c r="R357" s="12">
        <v>-0.42251073118734406</v>
      </c>
      <c r="S357" s="10">
        <v>13.664247890166974</v>
      </c>
      <c r="T357" s="10">
        <v>0.45180181101293654</v>
      </c>
      <c r="U357" s="22">
        <v>1</v>
      </c>
      <c r="V357" s="10">
        <v>9</v>
      </c>
      <c r="W357" s="10">
        <v>1.613793</v>
      </c>
      <c r="X357" s="40">
        <v>88.912780061701312</v>
      </c>
      <c r="Y357" s="39">
        <v>9.8791977846334795</v>
      </c>
      <c r="Z357" s="15">
        <v>0.64522634508348786</v>
      </c>
      <c r="AA357" s="10">
        <v>7.2400919512777646</v>
      </c>
      <c r="AB357" s="10">
        <v>2086.1020600000002</v>
      </c>
      <c r="AC357" s="43">
        <v>2.5786418139101017E-2</v>
      </c>
      <c r="AD357" s="43">
        <v>1.0170710385467716E-2</v>
      </c>
      <c r="AE357" s="44">
        <v>569.62025316455697</v>
      </c>
      <c r="AF357" s="10">
        <v>1395</v>
      </c>
      <c r="AG357" s="10">
        <v>5289.020919999999</v>
      </c>
      <c r="AH357" s="12">
        <v>1.0170710385467716E-2</v>
      </c>
      <c r="AI357" s="10">
        <v>5275.4716981132078</v>
      </c>
      <c r="AJ357" s="10">
        <v>1964.620253164557</v>
      </c>
      <c r="AK357" s="5" t="s">
        <v>29</v>
      </c>
      <c r="AL357" s="5" t="s">
        <v>29</v>
      </c>
      <c r="AM357" s="4" t="s">
        <v>145</v>
      </c>
    </row>
    <row r="358" spans="1:39" x14ac:dyDescent="0.35">
      <c r="A358" s="5" t="s">
        <v>108</v>
      </c>
      <c r="B358" s="9" t="s">
        <v>35</v>
      </c>
      <c r="C358" s="5" t="s">
        <v>29</v>
      </c>
      <c r="D358" s="9" t="s">
        <v>35</v>
      </c>
      <c r="E358" s="16">
        <v>0.51454301090513166</v>
      </c>
      <c r="F358" s="24">
        <v>14.107120000000002</v>
      </c>
      <c r="G358" s="53">
        <v>0</v>
      </c>
      <c r="H358" s="10">
        <v>14.107120000000002</v>
      </c>
      <c r="I358" s="10">
        <v>8.9558520212530883</v>
      </c>
      <c r="J358" s="10">
        <v>7.2587200000000021</v>
      </c>
      <c r="K358" s="10">
        <v>0.5861635220125786</v>
      </c>
      <c r="L358" s="10">
        <v>0.36329113924050632</v>
      </c>
      <c r="M358" s="10">
        <v>0.74767736000000007</v>
      </c>
      <c r="N358" s="11">
        <v>0</v>
      </c>
      <c r="O358" s="12">
        <v>1.6E-2</v>
      </c>
      <c r="P358" s="11">
        <v>3.6999999999999998E-2</v>
      </c>
      <c r="Q358" s="35">
        <v>5.1512679787469136</v>
      </c>
      <c r="R358" s="12">
        <v>0.36515376481853934</v>
      </c>
      <c r="S358" s="10">
        <v>0</v>
      </c>
      <c r="T358" s="10">
        <v>0</v>
      </c>
      <c r="U358" s="22">
        <v>1</v>
      </c>
      <c r="V358" s="10">
        <v>1</v>
      </c>
      <c r="W358" s="10">
        <v>0</v>
      </c>
      <c r="X358" s="40">
        <v>2.1954892282820815</v>
      </c>
      <c r="Y358" s="39">
        <v>2.1954892282820815</v>
      </c>
      <c r="Z358" s="15">
        <v>0.56754301090513171</v>
      </c>
      <c r="AA358" s="10">
        <v>0.94945466125308497</v>
      </c>
      <c r="AB358" s="10">
        <v>2086.1020600000002</v>
      </c>
      <c r="AC358" s="43">
        <v>6.7624304057300058E-3</v>
      </c>
      <c r="AD358" s="43">
        <v>2.6672460202709887E-3</v>
      </c>
      <c r="AE358" s="44">
        <v>63.291139240506332</v>
      </c>
      <c r="AF358" s="10">
        <v>300</v>
      </c>
      <c r="AG358" s="10">
        <v>5289.020919999999</v>
      </c>
      <c r="AH358" s="12">
        <v>2.6672460202709887E-3</v>
      </c>
      <c r="AI358" s="10">
        <v>586.1635220125786</v>
      </c>
      <c r="AJ358" s="10">
        <v>363.29113924050631</v>
      </c>
      <c r="AK358" s="5" t="s">
        <v>29</v>
      </c>
      <c r="AL358" s="5" t="s">
        <v>29</v>
      </c>
      <c r="AM358" s="4" t="s">
        <v>145</v>
      </c>
    </row>
    <row r="359" spans="1:39" x14ac:dyDescent="0.35">
      <c r="A359" s="5" t="s">
        <v>108</v>
      </c>
      <c r="B359" s="9" t="s">
        <v>137</v>
      </c>
      <c r="C359" s="5" t="s">
        <v>29</v>
      </c>
      <c r="D359" s="9" t="s">
        <v>36</v>
      </c>
      <c r="E359" s="16">
        <v>0.49095474309510678</v>
      </c>
      <c r="F359" s="24">
        <v>13.063200000000002</v>
      </c>
      <c r="G359" s="53">
        <v>0</v>
      </c>
      <c r="H359" s="10">
        <v>13.063200000000002</v>
      </c>
      <c r="I359" s="10">
        <v>9.8960495837592539</v>
      </c>
      <c r="J359" s="10">
        <v>6.4134399999999996</v>
      </c>
      <c r="K359" s="10">
        <v>1.7584905660377357</v>
      </c>
      <c r="L359" s="10">
        <v>0.63987341772151896</v>
      </c>
      <c r="M359" s="10">
        <v>1.0842456</v>
      </c>
      <c r="N359" s="11">
        <v>0.03</v>
      </c>
      <c r="O359" s="12">
        <v>1.6E-2</v>
      </c>
      <c r="P359" s="11">
        <v>3.6999999999999998E-2</v>
      </c>
      <c r="Q359" s="35">
        <v>3.167150416240748</v>
      </c>
      <c r="R359" s="12">
        <v>0.24244828344056185</v>
      </c>
      <c r="S359" s="10">
        <v>0</v>
      </c>
      <c r="T359" s="10">
        <v>0</v>
      </c>
      <c r="U359" s="22">
        <v>1</v>
      </c>
      <c r="V359" s="10">
        <v>3</v>
      </c>
      <c r="W359" s="10">
        <v>0.39189600000000002</v>
      </c>
      <c r="X359" s="40">
        <v>5.6293643571641621</v>
      </c>
      <c r="Y359" s="39">
        <v>1.8764547857213874</v>
      </c>
      <c r="Z359" s="15">
        <v>0.57395474309510675</v>
      </c>
      <c r="AA359" s="10">
        <v>2.3983639837592547</v>
      </c>
      <c r="AB359" s="10">
        <v>2086.1020600000002</v>
      </c>
      <c r="AC359" s="43">
        <v>6.2620138537229581E-3</v>
      </c>
      <c r="AD359" s="43">
        <v>2.4698711155787989E-3</v>
      </c>
      <c r="AE359" s="44">
        <v>189.87341772151899</v>
      </c>
      <c r="AF359" s="10">
        <v>450</v>
      </c>
      <c r="AG359" s="10">
        <v>5289.020919999999</v>
      </c>
      <c r="AH359" s="12">
        <v>2.4698711155787989E-3</v>
      </c>
      <c r="AI359" s="10">
        <v>1758.4905660377358</v>
      </c>
      <c r="AJ359" s="10">
        <v>639.87341772151899</v>
      </c>
      <c r="AK359" s="5" t="s">
        <v>29</v>
      </c>
      <c r="AL359" s="5" t="s">
        <v>29</v>
      </c>
      <c r="AM359" s="4" t="s">
        <v>145</v>
      </c>
    </row>
    <row r="360" spans="1:39" x14ac:dyDescent="0.35">
      <c r="A360" s="5" t="s">
        <v>108</v>
      </c>
      <c r="B360" s="9" t="s">
        <v>37</v>
      </c>
      <c r="C360" s="5" t="s">
        <v>29</v>
      </c>
      <c r="D360" s="9" t="s">
        <v>37</v>
      </c>
      <c r="E360" s="16">
        <v>0</v>
      </c>
      <c r="F360" s="24">
        <v>0</v>
      </c>
      <c r="G360" s="53">
        <v>3.8981999999999997</v>
      </c>
      <c r="H360" s="10">
        <v>-3.8981999999999997</v>
      </c>
      <c r="I360" s="10">
        <v>4.775202933193567</v>
      </c>
      <c r="J360" s="10">
        <v>0</v>
      </c>
      <c r="K360" s="10">
        <v>3.5169811320754714</v>
      </c>
      <c r="L360" s="10">
        <v>1.2582218011180952</v>
      </c>
      <c r="M360" s="10">
        <v>0</v>
      </c>
      <c r="N360" s="11">
        <v>0</v>
      </c>
      <c r="O360" s="12">
        <v>1.6E-2</v>
      </c>
      <c r="P360" s="11">
        <v>3.6999999999999998E-2</v>
      </c>
      <c r="Q360" s="35">
        <v>-8.6734029331935663</v>
      </c>
      <c r="R360" s="12">
        <v>2.2249763822260444</v>
      </c>
      <c r="S360" s="10">
        <v>0</v>
      </c>
      <c r="T360" s="10">
        <v>0</v>
      </c>
      <c r="U360" s="22">
        <v>1</v>
      </c>
      <c r="V360" s="10">
        <v>6</v>
      </c>
      <c r="W360" s="10">
        <v>0</v>
      </c>
      <c r="X360" s="40">
        <v>9.1588204151991199</v>
      </c>
      <c r="Y360" s="39">
        <v>1.5264700691998534</v>
      </c>
      <c r="Z360" s="15">
        <v>5.2999999999999999E-2</v>
      </c>
      <c r="AA360" s="10">
        <v>4.775202933193567</v>
      </c>
      <c r="AB360" s="10">
        <v>2086.1020600000002</v>
      </c>
      <c r="AC360" s="43">
        <v>0</v>
      </c>
      <c r="AD360" s="43">
        <v>0</v>
      </c>
      <c r="AE360" s="44">
        <v>379.74683544303798</v>
      </c>
      <c r="AF360" s="10">
        <v>878.47496567505721</v>
      </c>
      <c r="AG360" s="10">
        <v>5289.020919999999</v>
      </c>
      <c r="AH360" s="12">
        <v>0</v>
      </c>
      <c r="AI360" s="10">
        <v>3516.9811320754716</v>
      </c>
      <c r="AJ360" s="10">
        <v>1258.2218011180953</v>
      </c>
      <c r="AK360" s="5" t="s">
        <v>29</v>
      </c>
      <c r="AL360" s="5" t="s">
        <v>29</v>
      </c>
      <c r="AM360" s="4" t="s">
        <v>145</v>
      </c>
    </row>
    <row r="361" spans="1:39" x14ac:dyDescent="0.35">
      <c r="A361" s="5" t="s">
        <v>108</v>
      </c>
      <c r="B361" s="9" t="s">
        <v>38</v>
      </c>
      <c r="C361" s="5" t="s">
        <v>29</v>
      </c>
      <c r="D361" s="9" t="s">
        <v>38</v>
      </c>
      <c r="E361" s="16">
        <v>0.52103424665482956</v>
      </c>
      <c r="F361" s="24">
        <v>68.935199999999995</v>
      </c>
      <c r="G361" s="53">
        <v>14.858129999999999</v>
      </c>
      <c r="H361" s="10">
        <v>54.077069999999992</v>
      </c>
      <c r="I361" s="10">
        <v>97.925823226462867</v>
      </c>
      <c r="J361" s="10">
        <v>35.917600000000007</v>
      </c>
      <c r="K361" s="10">
        <v>40.445283018867919</v>
      </c>
      <c r="L361" s="10">
        <v>14.117938607594944</v>
      </c>
      <c r="M361" s="10">
        <v>7.4450016000000003</v>
      </c>
      <c r="N361" s="11">
        <v>5.5E-2</v>
      </c>
      <c r="O361" s="12">
        <v>1.6E-2</v>
      </c>
      <c r="P361" s="11">
        <v>3.6999999999999998E-2</v>
      </c>
      <c r="Q361" s="35">
        <v>-43.848753226462875</v>
      </c>
      <c r="R361" s="12">
        <v>-0.81085667597121813</v>
      </c>
      <c r="S361" s="10">
        <v>7.7415945712495224</v>
      </c>
      <c r="T361" s="10">
        <v>0.21553763534449744</v>
      </c>
      <c r="U361" s="22">
        <v>1</v>
      </c>
      <c r="V361" s="10">
        <v>69</v>
      </c>
      <c r="W361" s="10">
        <v>3.7914359999999996</v>
      </c>
      <c r="X361" s="40">
        <v>187.13682058372854</v>
      </c>
      <c r="Y361" s="39">
        <v>2.7121278345467905</v>
      </c>
      <c r="Z361" s="15">
        <v>0.62903424665482954</v>
      </c>
      <c r="AA361" s="10">
        <v>54.563221626462862</v>
      </c>
      <c r="AB361" s="10">
        <v>2086.1020600000002</v>
      </c>
      <c r="AC361" s="43">
        <v>3.3044979592225701E-2</v>
      </c>
      <c r="AD361" s="43">
        <v>1.303364101649271E-2</v>
      </c>
      <c r="AE361" s="44">
        <v>4367.0886075949365</v>
      </c>
      <c r="AF361" s="10">
        <v>9750.8500000000076</v>
      </c>
      <c r="AG361" s="10">
        <v>5289.020919999999</v>
      </c>
      <c r="AH361" s="12">
        <v>1.303364101649271E-2</v>
      </c>
      <c r="AI361" s="10">
        <v>40445.283018867922</v>
      </c>
      <c r="AJ361" s="10">
        <v>14117.938607594944</v>
      </c>
      <c r="AK361" s="5" t="s">
        <v>29</v>
      </c>
      <c r="AL361" s="5" t="s">
        <v>29</v>
      </c>
      <c r="AM361" s="4" t="s">
        <v>145</v>
      </c>
    </row>
    <row r="362" spans="1:39" x14ac:dyDescent="0.35">
      <c r="A362" s="5" t="s">
        <v>108</v>
      </c>
      <c r="B362" s="9" t="s">
        <v>39</v>
      </c>
      <c r="C362" s="5" t="s">
        <v>29</v>
      </c>
      <c r="D362" s="9" t="s">
        <v>39</v>
      </c>
      <c r="E362" s="16">
        <v>0.54140147816033335</v>
      </c>
      <c r="F362" s="24">
        <v>249.44520000000011</v>
      </c>
      <c r="G362" s="53">
        <v>14.480409999999999</v>
      </c>
      <c r="H362" s="10">
        <v>234.96479000000011</v>
      </c>
      <c r="I362" s="10">
        <v>242.92912469984034</v>
      </c>
      <c r="J362" s="10">
        <v>135.05000000000004</v>
      </c>
      <c r="K362" s="10">
        <v>60.96100628930818</v>
      </c>
      <c r="L362" s="10">
        <v>26.214166810532092</v>
      </c>
      <c r="M362" s="10">
        <v>20.703951600000007</v>
      </c>
      <c r="N362" s="11">
        <v>0.03</v>
      </c>
      <c r="O362" s="12">
        <v>1.6E-2</v>
      </c>
      <c r="P362" s="11">
        <v>3.6999999999999998E-2</v>
      </c>
      <c r="Q362" s="35">
        <v>-7.9643346998402365</v>
      </c>
      <c r="R362" s="12">
        <v>-3.3895864566943129E-2</v>
      </c>
      <c r="S362" s="10">
        <v>7.8397153783676723</v>
      </c>
      <c r="T362" s="10">
        <v>5.8050465593244498E-2</v>
      </c>
      <c r="U362" s="22">
        <v>1</v>
      </c>
      <c r="V362" s="10">
        <v>104</v>
      </c>
      <c r="W362" s="10">
        <v>7.4833560000000032</v>
      </c>
      <c r="X362" s="40">
        <v>270.6495824369469</v>
      </c>
      <c r="Y362" s="39">
        <v>2.6023998311244894</v>
      </c>
      <c r="Z362" s="15">
        <v>0.62440147816033331</v>
      </c>
      <c r="AA362" s="10">
        <v>87.175173099840265</v>
      </c>
      <c r="AB362" s="10">
        <v>2086.1020600000002</v>
      </c>
      <c r="AC362" s="43">
        <v>0.11957478245335709</v>
      </c>
      <c r="AD362" s="43">
        <v>4.7162831036788595E-2</v>
      </c>
      <c r="AE362" s="44">
        <v>6582.2784810126586</v>
      </c>
      <c r="AF362" s="10">
        <v>19631.888329519436</v>
      </c>
      <c r="AG362" s="10">
        <v>5289.020919999999</v>
      </c>
      <c r="AH362" s="12">
        <v>4.7162831036788595E-2</v>
      </c>
      <c r="AI362" s="10">
        <v>60961.006289308178</v>
      </c>
      <c r="AJ362" s="10">
        <v>26214.166810532093</v>
      </c>
      <c r="AK362" s="5" t="s">
        <v>29</v>
      </c>
      <c r="AL362" s="5" t="s">
        <v>29</v>
      </c>
      <c r="AM362" s="4" t="s">
        <v>145</v>
      </c>
    </row>
    <row r="363" spans="1:39" x14ac:dyDescent="0.35">
      <c r="A363" s="5" t="s">
        <v>108</v>
      </c>
      <c r="B363" s="9" t="s">
        <v>40</v>
      </c>
      <c r="C363" s="5" t="s">
        <v>29</v>
      </c>
      <c r="D363" s="9" t="s">
        <v>40</v>
      </c>
      <c r="E363" s="16">
        <v>0.53733293980535479</v>
      </c>
      <c r="F363" s="24">
        <v>52.855200000000011</v>
      </c>
      <c r="G363" s="53">
        <v>12.5</v>
      </c>
      <c r="H363" s="10">
        <v>40.355200000000011</v>
      </c>
      <c r="I363" s="10">
        <v>60.600764766741264</v>
      </c>
      <c r="J363" s="10">
        <v>28.400839999999995</v>
      </c>
      <c r="K363" s="10">
        <v>20.515723270440251</v>
      </c>
      <c r="L363" s="10">
        <v>7.2972198963010175</v>
      </c>
      <c r="M363" s="10">
        <v>4.3869816000000004</v>
      </c>
      <c r="N363" s="11">
        <v>0.03</v>
      </c>
      <c r="O363" s="12">
        <v>1.6E-2</v>
      </c>
      <c r="P363" s="11">
        <v>3.6999999999999998E-2</v>
      </c>
      <c r="Q363" s="35">
        <v>-20.245564766741253</v>
      </c>
      <c r="R363" s="12">
        <v>-0.50168416379404013</v>
      </c>
      <c r="S363" s="10">
        <v>6.7166617475669348</v>
      </c>
      <c r="T363" s="10">
        <v>0.23649517928226546</v>
      </c>
      <c r="U363" s="22">
        <v>1</v>
      </c>
      <c r="V363" s="10">
        <v>35</v>
      </c>
      <c r="W363" s="10">
        <v>1.5856560000000002</v>
      </c>
      <c r="X363" s="40">
        <v>106.17972269196567</v>
      </c>
      <c r="Y363" s="39">
        <v>3.0337063626275906</v>
      </c>
      <c r="Z363" s="15">
        <v>0.62033293980535475</v>
      </c>
      <c r="AA363" s="10">
        <v>27.81294316674127</v>
      </c>
      <c r="AB363" s="10">
        <v>2086.1020600000002</v>
      </c>
      <c r="AC363" s="43">
        <v>2.5336823645148027E-2</v>
      </c>
      <c r="AD363" s="43">
        <v>9.9933807786867328E-3</v>
      </c>
      <c r="AE363" s="44">
        <v>2215.1898734177216</v>
      </c>
      <c r="AF363" s="10">
        <v>5082.0300228832957</v>
      </c>
      <c r="AG363" s="10">
        <v>5289.020919999999</v>
      </c>
      <c r="AH363" s="12">
        <v>9.9933807786867328E-3</v>
      </c>
      <c r="AI363" s="10">
        <v>20515.723270440252</v>
      </c>
      <c r="AJ363" s="10">
        <v>7297.2198963010178</v>
      </c>
      <c r="AK363" s="5" t="s">
        <v>29</v>
      </c>
      <c r="AL363" s="5" t="s">
        <v>29</v>
      </c>
      <c r="AM363" s="4" t="s">
        <v>145</v>
      </c>
    </row>
    <row r="364" spans="1:39" x14ac:dyDescent="0.35">
      <c r="A364" s="5" t="s">
        <v>108</v>
      </c>
      <c r="B364" s="9" t="s">
        <v>41</v>
      </c>
      <c r="C364" s="5" t="s">
        <v>29</v>
      </c>
      <c r="D364" s="9" t="s">
        <v>41</v>
      </c>
      <c r="E364" s="16">
        <v>0.52517614888050235</v>
      </c>
      <c r="F364" s="24">
        <v>229.07152000000002</v>
      </c>
      <c r="G364" s="53">
        <v>0</v>
      </c>
      <c r="H364" s="10">
        <v>229.07152000000002</v>
      </c>
      <c r="I364" s="10">
        <v>166.56864344882436</v>
      </c>
      <c r="J364" s="10">
        <v>120.30289869180298</v>
      </c>
      <c r="K364" s="10">
        <v>19.929559748427675</v>
      </c>
      <c r="L364" s="10">
        <v>7.3232488485936909</v>
      </c>
      <c r="M364" s="10">
        <v>19.012936159999999</v>
      </c>
      <c r="N364" s="11">
        <v>0.03</v>
      </c>
      <c r="O364" s="12">
        <v>1.6E-2</v>
      </c>
      <c r="P364" s="11">
        <v>3.6999999999999998E-2</v>
      </c>
      <c r="Q364" s="35">
        <v>62.50287655117566</v>
      </c>
      <c r="R364" s="12">
        <v>0.27285310959291514</v>
      </c>
      <c r="S364" s="10">
        <v>0</v>
      </c>
      <c r="T364" s="10">
        <v>0</v>
      </c>
      <c r="U364" s="22">
        <v>1</v>
      </c>
      <c r="V364" s="10">
        <v>34</v>
      </c>
      <c r="W364" s="10">
        <v>6.8721456000000005</v>
      </c>
      <c r="X364" s="40">
        <v>69.55372553037833</v>
      </c>
      <c r="Y364" s="39">
        <v>2.0456978097170095</v>
      </c>
      <c r="Z364" s="15">
        <v>0.60817614888050231</v>
      </c>
      <c r="AA364" s="10">
        <v>27.252808597021364</v>
      </c>
      <c r="AB364" s="10">
        <v>2086.1020600000002</v>
      </c>
      <c r="AC364" s="43">
        <v>0.10980839547227138</v>
      </c>
      <c r="AD364" s="43">
        <v>4.3310760812797097E-2</v>
      </c>
      <c r="AE364" s="44">
        <v>2151.8987341772154</v>
      </c>
      <c r="AF364" s="10">
        <v>5171.3501144164757</v>
      </c>
      <c r="AG364" s="10">
        <v>5289.020919999999</v>
      </c>
      <c r="AH364" s="12">
        <v>4.3310760812797097E-2</v>
      </c>
      <c r="AI364" s="10">
        <v>19929.559748427673</v>
      </c>
      <c r="AJ364" s="10">
        <v>7323.248848593691</v>
      </c>
      <c r="AK364" s="5" t="s">
        <v>29</v>
      </c>
      <c r="AL364" s="5" t="s">
        <v>29</v>
      </c>
      <c r="AM364" s="4" t="s">
        <v>145</v>
      </c>
    </row>
    <row r="365" spans="1:39" x14ac:dyDescent="0.35">
      <c r="A365" s="5" t="s">
        <v>108</v>
      </c>
      <c r="B365" s="9" t="s">
        <v>42</v>
      </c>
      <c r="C365" s="5" t="s">
        <v>29</v>
      </c>
      <c r="D365" s="9" t="s">
        <v>42</v>
      </c>
      <c r="E365" s="16">
        <v>0.57236248141640778</v>
      </c>
      <c r="F365" s="24">
        <v>347.20199999999988</v>
      </c>
      <c r="G365" s="53">
        <v>93.523579999999995</v>
      </c>
      <c r="H365" s="10">
        <v>253.6784199999999</v>
      </c>
      <c r="I365" s="10">
        <v>243.63552953028272</v>
      </c>
      <c r="J365" s="10">
        <v>198.72539827273954</v>
      </c>
      <c r="K365" s="10">
        <v>8.2062893081760997</v>
      </c>
      <c r="L365" s="10">
        <v>7.8860759493670889</v>
      </c>
      <c r="M365" s="10">
        <v>28.817765999999988</v>
      </c>
      <c r="N365" s="11">
        <v>0.03</v>
      </c>
      <c r="O365" s="12">
        <v>1.6E-2</v>
      </c>
      <c r="P365" s="11">
        <v>3.6999999999999998E-2</v>
      </c>
      <c r="Q365" s="35">
        <v>10.042890469717179</v>
      </c>
      <c r="R365" s="12">
        <v>3.9589061102308913E-2</v>
      </c>
      <c r="S365" s="10">
        <v>53.529388319745927</v>
      </c>
      <c r="T365" s="10">
        <v>0.26936359813595551</v>
      </c>
      <c r="U365" s="22">
        <v>1</v>
      </c>
      <c r="V365" s="10">
        <v>14</v>
      </c>
      <c r="W365" s="10">
        <v>10.416059999999996</v>
      </c>
      <c r="X365" s="40">
        <v>318.06155553825954</v>
      </c>
      <c r="Y365" s="39">
        <v>22.718682538447108</v>
      </c>
      <c r="Z365" s="15">
        <v>0.65536248141640774</v>
      </c>
      <c r="AA365" s="10">
        <v>16.092365257543189</v>
      </c>
      <c r="AB365" s="10">
        <v>2086.1020600000002</v>
      </c>
      <c r="AC365" s="43">
        <v>0.16643576872744176</v>
      </c>
      <c r="AD365" s="43">
        <v>6.5645798201909925E-2</v>
      </c>
      <c r="AE365" s="44">
        <v>886.0759493670887</v>
      </c>
      <c r="AF365" s="10">
        <v>7000</v>
      </c>
      <c r="AG365" s="10">
        <v>5289.020919999999</v>
      </c>
      <c r="AH365" s="12">
        <v>6.5645798201909925E-2</v>
      </c>
      <c r="AI365" s="10">
        <v>8206.2893081760994</v>
      </c>
      <c r="AJ365" s="10">
        <v>7886.0759493670885</v>
      </c>
      <c r="AK365" s="5" t="s">
        <v>29</v>
      </c>
      <c r="AL365" s="5" t="s">
        <v>29</v>
      </c>
      <c r="AM365" s="4" t="s">
        <v>145</v>
      </c>
    </row>
    <row r="366" spans="1:39" x14ac:dyDescent="0.35">
      <c r="A366" s="5" t="s">
        <v>108</v>
      </c>
      <c r="B366" s="9" t="s">
        <v>137</v>
      </c>
      <c r="C366" s="5" t="s">
        <v>29</v>
      </c>
      <c r="D366" s="9" t="s">
        <v>43</v>
      </c>
      <c r="E366" s="16">
        <v>0</v>
      </c>
      <c r="F366" s="24">
        <v>0</v>
      </c>
      <c r="G366" s="53">
        <v>0</v>
      </c>
      <c r="H366" s="10">
        <v>0</v>
      </c>
      <c r="I366" s="10">
        <v>0.79945466125308495</v>
      </c>
      <c r="J366" s="10">
        <v>0</v>
      </c>
      <c r="K366" s="10">
        <v>0.5861635220125786</v>
      </c>
      <c r="L366" s="10">
        <v>0.21329113924050633</v>
      </c>
      <c r="M366" s="10">
        <v>0</v>
      </c>
      <c r="N366" s="11">
        <v>0.03</v>
      </c>
      <c r="O366" s="12">
        <v>1.6E-2</v>
      </c>
      <c r="P366" s="11">
        <v>3.6999999999999998E-2</v>
      </c>
      <c r="Q366" s="35">
        <v>-0.79945466125308495</v>
      </c>
      <c r="R366" s="12">
        <v>0</v>
      </c>
      <c r="S366" s="10">
        <v>0</v>
      </c>
      <c r="T366" s="10">
        <v>0</v>
      </c>
      <c r="U366" s="22">
        <v>1</v>
      </c>
      <c r="V366" s="10">
        <v>1</v>
      </c>
      <c r="W366" s="10">
        <v>0</v>
      </c>
      <c r="X366" s="40">
        <v>0.87181533397282984</v>
      </c>
      <c r="Y366" s="39">
        <v>0.87181533397282984</v>
      </c>
      <c r="Z366" s="15">
        <v>8.299999999999999E-2</v>
      </c>
      <c r="AA366" s="10">
        <v>0.79945466125308495</v>
      </c>
      <c r="AB366" s="10">
        <v>2086.1020600000002</v>
      </c>
      <c r="AC366" s="43">
        <v>0</v>
      </c>
      <c r="AD366" s="43">
        <v>0</v>
      </c>
      <c r="AE366" s="44">
        <v>63.291139240506332</v>
      </c>
      <c r="AF366" s="10">
        <v>150</v>
      </c>
      <c r="AG366" s="10">
        <v>5289.020919999999</v>
      </c>
      <c r="AH366" s="12">
        <v>0</v>
      </c>
      <c r="AI366" s="10">
        <v>586.1635220125786</v>
      </c>
      <c r="AJ366" s="10">
        <v>213.29113924050634</v>
      </c>
      <c r="AK366" s="5" t="s">
        <v>29</v>
      </c>
      <c r="AL366" s="5" t="s">
        <v>29</v>
      </c>
      <c r="AM366" s="4" t="s">
        <v>145</v>
      </c>
    </row>
    <row r="367" spans="1:39" x14ac:dyDescent="0.35">
      <c r="A367" s="5" t="s">
        <v>108</v>
      </c>
      <c r="B367" s="9" t="s">
        <v>137</v>
      </c>
      <c r="C367" s="5" t="s">
        <v>29</v>
      </c>
      <c r="D367" s="9" t="s">
        <v>44</v>
      </c>
      <c r="E367" s="16">
        <v>0</v>
      </c>
      <c r="F367" s="24">
        <v>0</v>
      </c>
      <c r="G367" s="53">
        <v>0</v>
      </c>
      <c r="H367" s="10">
        <v>0</v>
      </c>
      <c r="I367" s="10">
        <v>3.1978186450123398</v>
      </c>
      <c r="J367" s="10">
        <v>0</v>
      </c>
      <c r="K367" s="10">
        <v>2.3446540880503144</v>
      </c>
      <c r="L367" s="10">
        <v>0.85316455696202531</v>
      </c>
      <c r="M367" s="10">
        <v>0</v>
      </c>
      <c r="N367" s="11">
        <v>0.03</v>
      </c>
      <c r="O367" s="12">
        <v>1.6E-2</v>
      </c>
      <c r="P367" s="11">
        <v>3.6999999999999998E-2</v>
      </c>
      <c r="Q367" s="35">
        <v>-3.1978186450123398</v>
      </c>
      <c r="R367" s="12">
        <v>0</v>
      </c>
      <c r="S367" s="10">
        <v>0</v>
      </c>
      <c r="T367" s="10">
        <v>0</v>
      </c>
      <c r="U367" s="22">
        <v>1</v>
      </c>
      <c r="V367" s="10">
        <v>4</v>
      </c>
      <c r="W367" s="10">
        <v>0</v>
      </c>
      <c r="X367" s="40">
        <v>3.4872613358913194</v>
      </c>
      <c r="Y367" s="39">
        <v>0.87181533397282984</v>
      </c>
      <c r="Z367" s="15">
        <v>8.299999999999999E-2</v>
      </c>
      <c r="AA367" s="10">
        <v>3.1978186450123398</v>
      </c>
      <c r="AB367" s="10">
        <v>2086.1020600000002</v>
      </c>
      <c r="AC367" s="43">
        <v>0</v>
      </c>
      <c r="AD367" s="43">
        <v>0</v>
      </c>
      <c r="AE367" s="44">
        <v>253.16455696202533</v>
      </c>
      <c r="AF367" s="10">
        <v>600</v>
      </c>
      <c r="AG367" s="10">
        <v>5289.020919999999</v>
      </c>
      <c r="AH367" s="12">
        <v>0</v>
      </c>
      <c r="AI367" s="10">
        <v>2344.6540880503144</v>
      </c>
      <c r="AJ367" s="10">
        <v>853.16455696202536</v>
      </c>
      <c r="AK367" s="5" t="s">
        <v>29</v>
      </c>
      <c r="AL367" s="5" t="s">
        <v>29</v>
      </c>
      <c r="AM367" s="4" t="s">
        <v>145</v>
      </c>
    </row>
    <row r="368" spans="1:39" x14ac:dyDescent="0.35">
      <c r="A368" s="5" t="s">
        <v>108</v>
      </c>
      <c r="B368" s="9" t="s">
        <v>137</v>
      </c>
      <c r="C368" s="5" t="s">
        <v>29</v>
      </c>
      <c r="D368" s="9" t="s">
        <v>121</v>
      </c>
      <c r="E368" s="16">
        <v>0</v>
      </c>
      <c r="F368" s="24">
        <v>0</v>
      </c>
      <c r="G368" s="53">
        <v>0</v>
      </c>
      <c r="H368" s="10">
        <v>0</v>
      </c>
      <c r="I368" s="10">
        <v>0</v>
      </c>
      <c r="J368" s="10">
        <v>0</v>
      </c>
      <c r="K368" s="10">
        <v>0</v>
      </c>
      <c r="L368" s="10">
        <v>0</v>
      </c>
      <c r="M368" s="10">
        <v>0</v>
      </c>
      <c r="N368" s="11">
        <v>0.03</v>
      </c>
      <c r="O368" s="12">
        <v>1.6E-2</v>
      </c>
      <c r="P368" s="11">
        <v>3.6999999999999998E-2</v>
      </c>
      <c r="Q368" s="35">
        <v>0</v>
      </c>
      <c r="R368" s="12">
        <v>0</v>
      </c>
      <c r="S368" s="10">
        <v>0</v>
      </c>
      <c r="T368" s="10">
        <v>0</v>
      </c>
      <c r="U368" s="22">
        <v>1</v>
      </c>
      <c r="V368" s="10">
        <v>0</v>
      </c>
      <c r="W368" s="10">
        <v>0</v>
      </c>
      <c r="X368" s="40">
        <v>0</v>
      </c>
      <c r="Y368" s="39">
        <v>0</v>
      </c>
      <c r="Z368" s="15">
        <v>8.299999999999999E-2</v>
      </c>
      <c r="AA368" s="10">
        <v>0</v>
      </c>
      <c r="AB368" s="10">
        <v>2086.1020600000002</v>
      </c>
      <c r="AC368" s="43">
        <v>0</v>
      </c>
      <c r="AD368" s="43">
        <v>0</v>
      </c>
      <c r="AE368" s="44">
        <v>0</v>
      </c>
      <c r="AF368" s="10">
        <v>0</v>
      </c>
      <c r="AG368" s="10">
        <v>5289.020919999999</v>
      </c>
      <c r="AH368" s="12">
        <v>0</v>
      </c>
      <c r="AI368" s="10">
        <v>0</v>
      </c>
      <c r="AJ368" s="10">
        <v>0</v>
      </c>
      <c r="AK368" s="5" t="s">
        <v>29</v>
      </c>
      <c r="AL368" s="5" t="s">
        <v>29</v>
      </c>
      <c r="AM368" s="4" t="s">
        <v>145</v>
      </c>
    </row>
    <row r="369" spans="1:39" x14ac:dyDescent="0.35">
      <c r="A369" s="5" t="s">
        <v>108</v>
      </c>
      <c r="B369" s="9" t="s">
        <v>63</v>
      </c>
      <c r="C369" s="5" t="s">
        <v>29</v>
      </c>
      <c r="D369" s="9" t="s">
        <v>64</v>
      </c>
      <c r="E369" s="16">
        <v>0.58972674040338324</v>
      </c>
      <c r="F369" s="24">
        <v>30.21</v>
      </c>
      <c r="G369" s="53">
        <v>2.6499999999999999E-2</v>
      </c>
      <c r="H369" s="10">
        <v>30.183500000000002</v>
      </c>
      <c r="I369" s="10">
        <v>20.972529488839292</v>
      </c>
      <c r="J369" s="10">
        <v>17.815644827586208</v>
      </c>
      <c r="K369" s="10">
        <v>0.5861635220125786</v>
      </c>
      <c r="L369" s="10">
        <v>6.3291139240506333E-2</v>
      </c>
      <c r="M369" s="10">
        <v>2.5074299999999998</v>
      </c>
      <c r="N369" s="11">
        <v>0.03</v>
      </c>
      <c r="O369" s="12">
        <v>1.6E-2</v>
      </c>
      <c r="P369" s="11">
        <v>3.6999999999999998E-2</v>
      </c>
      <c r="Q369" s="35">
        <v>9.2109705111607099</v>
      </c>
      <c r="R369" s="12">
        <v>0.30516575318172873</v>
      </c>
      <c r="S369" s="10">
        <v>1.5627758620689654E-2</v>
      </c>
      <c r="T369" s="10">
        <v>8.7719298245614026E-4</v>
      </c>
      <c r="U369" s="22">
        <v>1</v>
      </c>
      <c r="V369" s="10">
        <v>1</v>
      </c>
      <c r="W369" s="10">
        <v>0.90629999999999999</v>
      </c>
      <c r="X369" s="40">
        <v>2.0654136610068239</v>
      </c>
      <c r="Y369" s="39">
        <v>2.0654136610068239</v>
      </c>
      <c r="Z369" s="15">
        <v>0.67272674040338321</v>
      </c>
      <c r="AA369" s="10">
        <v>0.64945466125308493</v>
      </c>
      <c r="AB369" s="10">
        <v>2086.1020600000002</v>
      </c>
      <c r="AC369" s="43">
        <v>1.4481554176692581E-2</v>
      </c>
      <c r="AD369" s="43">
        <v>5.7118322005048914E-3</v>
      </c>
      <c r="AE369" s="44">
        <v>63.291139240506332</v>
      </c>
      <c r="AF369" s="10">
        <v>0</v>
      </c>
      <c r="AG369" s="10">
        <v>5289.020919999999</v>
      </c>
      <c r="AH369" s="12">
        <v>5.7118322005048914E-3</v>
      </c>
      <c r="AI369" s="10">
        <v>586.1635220125786</v>
      </c>
      <c r="AJ369" s="10">
        <v>63.291139240506332</v>
      </c>
      <c r="AK369" s="5" t="s">
        <v>29</v>
      </c>
      <c r="AL369" s="5" t="s">
        <v>29</v>
      </c>
      <c r="AM369" s="4" t="s">
        <v>145</v>
      </c>
    </row>
    <row r="370" spans="1:39" x14ac:dyDescent="0.35">
      <c r="A370" s="5" t="s">
        <v>108</v>
      </c>
      <c r="B370" s="9" t="s">
        <v>48</v>
      </c>
      <c r="C370" s="5" t="s">
        <v>29</v>
      </c>
      <c r="D370" s="9" t="s">
        <v>48</v>
      </c>
      <c r="E370" s="16">
        <v>0.53697968860753298</v>
      </c>
      <c r="F370" s="24">
        <v>490.95599999999985</v>
      </c>
      <c r="G370" s="53">
        <v>0</v>
      </c>
      <c r="H370" s="10">
        <v>490.95599999999985</v>
      </c>
      <c r="I370" s="10">
        <v>336.71147978887018</v>
      </c>
      <c r="J370" s="10">
        <v>263.63339999999988</v>
      </c>
      <c r="K370" s="10">
        <v>22.860377358490563</v>
      </c>
      <c r="L370" s="10">
        <v>9.4683544303797458</v>
      </c>
      <c r="M370" s="10">
        <v>40.749347999999983</v>
      </c>
      <c r="N370" s="11">
        <v>0.03</v>
      </c>
      <c r="O370" s="12">
        <v>1.6E-2</v>
      </c>
      <c r="P370" s="11">
        <v>3.6999999999999998E-2</v>
      </c>
      <c r="Q370" s="35">
        <v>154.24452021112967</v>
      </c>
      <c r="R370" s="12">
        <v>0.31417177957114223</v>
      </c>
      <c r="S370" s="10">
        <v>0</v>
      </c>
      <c r="T370" s="10">
        <v>0</v>
      </c>
      <c r="U370" s="22">
        <v>1</v>
      </c>
      <c r="V370" s="10">
        <v>39</v>
      </c>
      <c r="W370" s="10">
        <v>14.728679999999995</v>
      </c>
      <c r="X370" s="40">
        <v>85.071062834540754</v>
      </c>
      <c r="Y370" s="39">
        <v>2.1813093034497628</v>
      </c>
      <c r="Z370" s="15">
        <v>0.61997968860753294</v>
      </c>
      <c r="AA370" s="10">
        <v>32.328731788870307</v>
      </c>
      <c r="AB370" s="10">
        <v>2086.1020600000002</v>
      </c>
      <c r="AC370" s="43">
        <v>0.23534610765879777</v>
      </c>
      <c r="AD370" s="43">
        <v>9.2825497842803001E-2</v>
      </c>
      <c r="AE370" s="44">
        <v>2468.3544303797471</v>
      </c>
      <c r="AF370" s="10">
        <v>6999.9999999999991</v>
      </c>
      <c r="AG370" s="10">
        <v>5289.020919999999</v>
      </c>
      <c r="AH370" s="12">
        <v>9.2825497842803001E-2</v>
      </c>
      <c r="AI370" s="10">
        <v>22860.377358490565</v>
      </c>
      <c r="AJ370" s="10">
        <v>9468.3544303797462</v>
      </c>
      <c r="AK370" s="5" t="s">
        <v>29</v>
      </c>
      <c r="AL370" s="5" t="s">
        <v>29</v>
      </c>
      <c r="AM370" s="4" t="s">
        <v>145</v>
      </c>
    </row>
    <row r="371" spans="1:39" x14ac:dyDescent="0.35">
      <c r="A371" s="5" t="s">
        <v>108</v>
      </c>
      <c r="B371" s="9" t="s">
        <v>73</v>
      </c>
      <c r="C371" s="5" t="s">
        <v>29</v>
      </c>
      <c r="D371" s="9" t="s">
        <v>73</v>
      </c>
      <c r="E371" s="16">
        <v>0.55173214285714289</v>
      </c>
      <c r="F371" s="24">
        <v>167.99999999999997</v>
      </c>
      <c r="G371" s="53">
        <v>0</v>
      </c>
      <c r="H371" s="10">
        <v>167.99999999999997</v>
      </c>
      <c r="I371" s="10">
        <v>106.63499999999999</v>
      </c>
      <c r="J371" s="10">
        <v>92.690999999999988</v>
      </c>
      <c r="K371" s="10">
        <v>0</v>
      </c>
      <c r="L371" s="10">
        <v>0</v>
      </c>
      <c r="M371" s="10">
        <v>13.943999999999996</v>
      </c>
      <c r="N371" s="11">
        <v>0.03</v>
      </c>
      <c r="O371" s="12">
        <v>1.6E-2</v>
      </c>
      <c r="P371" s="11">
        <v>3.6999999999999998E-2</v>
      </c>
      <c r="Q371" s="35">
        <v>61.364999999999981</v>
      </c>
      <c r="R371" s="12">
        <v>0.36526785714285709</v>
      </c>
      <c r="S371" s="10">
        <v>0</v>
      </c>
      <c r="T371" s="10">
        <v>0</v>
      </c>
      <c r="U371" s="22">
        <v>1</v>
      </c>
      <c r="V371" s="10">
        <v>0</v>
      </c>
      <c r="W371" s="10">
        <v>5.0399999999999991</v>
      </c>
      <c r="X371" s="40">
        <v>0</v>
      </c>
      <c r="Y371" s="39">
        <v>0</v>
      </c>
      <c r="Z371" s="15">
        <v>0.63473214285714286</v>
      </c>
      <c r="AA371" s="10">
        <v>0</v>
      </c>
      <c r="AB371" s="10">
        <v>2086.1020600000002</v>
      </c>
      <c r="AC371" s="43">
        <v>8.0532972581408582E-2</v>
      </c>
      <c r="AD371" s="43">
        <v>3.1763912932301276E-2</v>
      </c>
      <c r="AE371" s="44">
        <v>0</v>
      </c>
      <c r="AF371" s="10">
        <v>0</v>
      </c>
      <c r="AG371" s="10">
        <v>5289.020919999999</v>
      </c>
      <c r="AH371" s="12">
        <v>3.1763912932301276E-2</v>
      </c>
      <c r="AI371" s="10">
        <v>0</v>
      </c>
      <c r="AJ371" s="10">
        <v>0</v>
      </c>
      <c r="AK371" s="5" t="s">
        <v>29</v>
      </c>
      <c r="AL371" s="5" t="s">
        <v>29</v>
      </c>
      <c r="AM371" s="4" t="s">
        <v>145</v>
      </c>
    </row>
    <row r="372" spans="1:39" x14ac:dyDescent="0.35">
      <c r="A372" s="5" t="s">
        <v>108</v>
      </c>
      <c r="B372" s="9" t="s">
        <v>126</v>
      </c>
      <c r="C372" s="5" t="s">
        <v>113</v>
      </c>
      <c r="D372" s="9" t="s">
        <v>126</v>
      </c>
      <c r="E372" s="16">
        <v>0</v>
      </c>
      <c r="F372" s="24">
        <v>0</v>
      </c>
      <c r="G372" s="53">
        <v>0</v>
      </c>
      <c r="H372" s="10">
        <v>0</v>
      </c>
      <c r="I372" s="10">
        <v>5.1299624985350984</v>
      </c>
      <c r="J372" s="10">
        <v>0</v>
      </c>
      <c r="K372" s="10">
        <v>3.5169811320754714</v>
      </c>
      <c r="L372" s="10">
        <v>1.6129813664596273</v>
      </c>
      <c r="M372" s="10">
        <v>0</v>
      </c>
      <c r="N372" s="11">
        <v>0</v>
      </c>
      <c r="O372" s="12">
        <v>1.6E-2</v>
      </c>
      <c r="P372" s="11">
        <v>3.6999999999999998E-2</v>
      </c>
      <c r="Q372" s="35">
        <v>-5.1299624985350984</v>
      </c>
      <c r="R372" s="12">
        <v>0</v>
      </c>
      <c r="S372" s="10">
        <v>0</v>
      </c>
      <c r="T372" s="10">
        <v>0</v>
      </c>
      <c r="U372" s="22">
        <v>1</v>
      </c>
      <c r="V372" s="10">
        <v>6</v>
      </c>
      <c r="W372" s="10">
        <v>0</v>
      </c>
      <c r="X372" s="40">
        <v>5.4170670523073907</v>
      </c>
      <c r="Y372" s="39">
        <v>0.90284450871789845</v>
      </c>
      <c r="Z372" s="15">
        <v>5.2999999999999999E-2</v>
      </c>
      <c r="AA372" s="10">
        <v>5.1299624985350984</v>
      </c>
      <c r="AB372" s="10">
        <v>216.32003999999995</v>
      </c>
      <c r="AC372" s="43">
        <v>0</v>
      </c>
      <c r="AD372" s="43">
        <v>0</v>
      </c>
      <c r="AE372" s="44">
        <v>714.28571428571433</v>
      </c>
      <c r="AF372" s="10">
        <v>898.695652173913</v>
      </c>
      <c r="AG372" s="10">
        <v>5289.020919999999</v>
      </c>
      <c r="AH372" s="12">
        <v>0</v>
      </c>
      <c r="AI372" s="10">
        <v>3516.9811320754716</v>
      </c>
      <c r="AJ372" s="10">
        <v>1612.9813664596272</v>
      </c>
      <c r="AK372" s="5" t="s">
        <v>113</v>
      </c>
      <c r="AL372" s="5" t="s">
        <v>113</v>
      </c>
      <c r="AM372" s="4" t="s">
        <v>145</v>
      </c>
    </row>
    <row r="373" spans="1:39" x14ac:dyDescent="0.35">
      <c r="A373" s="5" t="s">
        <v>108</v>
      </c>
      <c r="B373" s="9" t="s">
        <v>129</v>
      </c>
      <c r="C373" s="5" t="s">
        <v>22</v>
      </c>
      <c r="D373" s="9" t="s">
        <v>129</v>
      </c>
      <c r="E373" s="16">
        <v>0.55872124756335295</v>
      </c>
      <c r="F373" s="24">
        <v>30.779999999999998</v>
      </c>
      <c r="G373" s="53">
        <v>0</v>
      </c>
      <c r="H373" s="10">
        <v>30.779999999999998</v>
      </c>
      <c r="I373" s="10">
        <v>23.111031796500409</v>
      </c>
      <c r="J373" s="10">
        <v>17.197440000000004</v>
      </c>
      <c r="K373" s="10">
        <v>1.1723270440251572</v>
      </c>
      <c r="L373" s="10">
        <v>0.64752475247524754</v>
      </c>
      <c r="M373" s="10">
        <v>4.0937399999999995</v>
      </c>
      <c r="N373" s="11">
        <v>0.08</v>
      </c>
      <c r="O373" s="12">
        <v>1.6E-2</v>
      </c>
      <c r="P373" s="11">
        <v>3.6999999999999998E-2</v>
      </c>
      <c r="Q373" s="35">
        <v>7.6689682034995883</v>
      </c>
      <c r="R373" s="12">
        <v>0.249154262621819</v>
      </c>
      <c r="S373" s="10">
        <v>0</v>
      </c>
      <c r="T373" s="10">
        <v>0</v>
      </c>
      <c r="U373" s="22">
        <v>1</v>
      </c>
      <c r="V373" s="10">
        <v>2</v>
      </c>
      <c r="W373" s="10">
        <v>2.4623999999999997</v>
      </c>
      <c r="X373" s="40">
        <v>5.9032670338653785</v>
      </c>
      <c r="Y373" s="39">
        <v>2.9516335169326893</v>
      </c>
      <c r="Z373" s="15">
        <v>0.69172124756335296</v>
      </c>
      <c r="AA373" s="10">
        <v>1.8198517965004046</v>
      </c>
      <c r="AB373" s="10">
        <v>2576.7396199999989</v>
      </c>
      <c r="AC373" s="43">
        <v>1.1945328026585787E-2</v>
      </c>
      <c r="AD373" s="43">
        <v>5.8196026193823415E-3</v>
      </c>
      <c r="AE373" s="44">
        <v>247.52475247524754</v>
      </c>
      <c r="AF373" s="10">
        <v>400</v>
      </c>
      <c r="AG373" s="10">
        <v>5289.020919999999</v>
      </c>
      <c r="AH373" s="12">
        <v>5.8196026193823415E-3</v>
      </c>
      <c r="AI373" s="10">
        <v>1172.3270440251572</v>
      </c>
      <c r="AJ373" s="10">
        <v>647.52475247524751</v>
      </c>
      <c r="AK373" s="5" t="s">
        <v>22</v>
      </c>
      <c r="AL373" s="5" t="s">
        <v>22</v>
      </c>
      <c r="AM373" s="4" t="s">
        <v>145</v>
      </c>
    </row>
    <row r="374" spans="1:39" x14ac:dyDescent="0.35">
      <c r="A374" s="5" t="s">
        <v>108</v>
      </c>
      <c r="B374" s="9" t="s">
        <v>138</v>
      </c>
      <c r="C374" s="5" t="s">
        <v>29</v>
      </c>
      <c r="D374" s="9" t="s">
        <v>138</v>
      </c>
      <c r="E374" s="16">
        <v>0</v>
      </c>
      <c r="F374" s="24">
        <v>0</v>
      </c>
      <c r="G374" s="53">
        <v>0</v>
      </c>
      <c r="H374" s="10">
        <v>0</v>
      </c>
      <c r="I374" s="10">
        <v>0</v>
      </c>
      <c r="J374" s="10">
        <v>0</v>
      </c>
      <c r="K374" s="10">
        <v>0</v>
      </c>
      <c r="L374" s="10">
        <v>0</v>
      </c>
      <c r="M374" s="10">
        <v>0</v>
      </c>
      <c r="N374" s="11">
        <v>0</v>
      </c>
      <c r="O374" s="12">
        <v>1.6E-2</v>
      </c>
      <c r="P374" s="11">
        <v>3.6999999999999998E-2</v>
      </c>
      <c r="Q374" s="35">
        <v>0</v>
      </c>
      <c r="R374" s="12">
        <v>0</v>
      </c>
      <c r="S374" s="10">
        <v>0</v>
      </c>
      <c r="T374" s="10">
        <v>0</v>
      </c>
      <c r="U374" s="22">
        <v>1</v>
      </c>
      <c r="V374" s="10">
        <v>0</v>
      </c>
      <c r="W374" s="10">
        <v>0</v>
      </c>
      <c r="X374" s="40">
        <v>0</v>
      </c>
      <c r="Y374" s="39">
        <v>0</v>
      </c>
      <c r="Z374" s="15">
        <v>5.2999999999999999E-2</v>
      </c>
      <c r="AA374" s="10">
        <v>0</v>
      </c>
      <c r="AB374" s="10">
        <v>2086.1020600000002</v>
      </c>
      <c r="AC374" s="43">
        <v>0</v>
      </c>
      <c r="AD374" s="43">
        <v>0</v>
      </c>
      <c r="AE374" s="44">
        <v>0</v>
      </c>
      <c r="AF374" s="10">
        <v>0</v>
      </c>
      <c r="AG374" s="10">
        <v>5289.020919999999</v>
      </c>
      <c r="AH374" s="12">
        <v>0</v>
      </c>
      <c r="AI374" s="10">
        <v>0</v>
      </c>
      <c r="AJ374" s="10">
        <v>0</v>
      </c>
      <c r="AK374" s="5" t="s">
        <v>29</v>
      </c>
      <c r="AL374" s="5" t="s">
        <v>29</v>
      </c>
      <c r="AM374" s="4" t="s">
        <v>145</v>
      </c>
    </row>
    <row r="375" spans="1:39" x14ac:dyDescent="0.35">
      <c r="A375" s="5" t="s">
        <v>108</v>
      </c>
      <c r="B375" s="9" t="s">
        <v>139</v>
      </c>
      <c r="C375" s="5" t="s">
        <v>128</v>
      </c>
      <c r="D375" s="9" t="s">
        <v>139</v>
      </c>
      <c r="E375" s="16">
        <v>0</v>
      </c>
      <c r="F375" s="24">
        <v>0</v>
      </c>
      <c r="G375" s="53">
        <v>0</v>
      </c>
      <c r="H375" s="10">
        <v>0</v>
      </c>
      <c r="I375" s="10">
        <v>0.66511089043363125</v>
      </c>
      <c r="J375" s="10">
        <v>0</v>
      </c>
      <c r="K375" s="10">
        <v>0.5861635220125786</v>
      </c>
      <c r="L375" s="10">
        <v>7.8947368421052627E-2</v>
      </c>
      <c r="M375" s="10">
        <v>0</v>
      </c>
      <c r="N375" s="11">
        <v>0</v>
      </c>
      <c r="O375" s="12">
        <v>1.6E-2</v>
      </c>
      <c r="P375" s="11">
        <v>3.6999999999999998E-2</v>
      </c>
      <c r="Q375" s="35">
        <v>-0.66511089043363125</v>
      </c>
      <c r="R375" s="12">
        <v>0</v>
      </c>
      <c r="S375" s="10">
        <v>0</v>
      </c>
      <c r="T375" s="10">
        <v>0</v>
      </c>
      <c r="U375" s="22">
        <v>1</v>
      </c>
      <c r="V375" s="10">
        <v>1</v>
      </c>
      <c r="W375" s="10">
        <v>0</v>
      </c>
      <c r="X375" s="40">
        <v>0.70233462558989579</v>
      </c>
      <c r="Y375" s="39">
        <v>0.70233462558989579</v>
      </c>
      <c r="Z375" s="15">
        <v>5.2999999999999999E-2</v>
      </c>
      <c r="AA375" s="10">
        <v>0.66511089043363125</v>
      </c>
      <c r="AB375" s="10">
        <v>409.85919999999987</v>
      </c>
      <c r="AC375" s="43">
        <v>0</v>
      </c>
      <c r="AD375" s="43">
        <v>0</v>
      </c>
      <c r="AE375" s="44">
        <v>78.94736842105263</v>
      </c>
      <c r="AF375" s="10">
        <v>0</v>
      </c>
      <c r="AG375" s="10">
        <v>5289.020919999999</v>
      </c>
      <c r="AH375" s="12">
        <v>0</v>
      </c>
      <c r="AI375" s="10">
        <v>586.1635220125786</v>
      </c>
      <c r="AJ375" s="10">
        <v>78.94736842105263</v>
      </c>
      <c r="AK375" s="5" t="s">
        <v>128</v>
      </c>
      <c r="AL375" s="5" t="s">
        <v>128</v>
      </c>
      <c r="AM375" s="4" t="s">
        <v>145</v>
      </c>
    </row>
    <row r="376" spans="1:39" x14ac:dyDescent="0.35">
      <c r="A376" s="5" t="s">
        <v>108</v>
      </c>
      <c r="B376" s="9" t="s">
        <v>34</v>
      </c>
      <c r="C376" s="5" t="s">
        <v>29</v>
      </c>
      <c r="D376" s="9" t="s">
        <v>140</v>
      </c>
      <c r="E376" s="16">
        <v>0</v>
      </c>
      <c r="F376" s="24">
        <v>0</v>
      </c>
      <c r="G376" s="53">
        <v>35</v>
      </c>
      <c r="H376" s="10">
        <v>-35</v>
      </c>
      <c r="I376" s="10">
        <v>0</v>
      </c>
      <c r="J376" s="10">
        <v>0</v>
      </c>
      <c r="K376" s="10">
        <v>0</v>
      </c>
      <c r="L376" s="10">
        <v>0</v>
      </c>
      <c r="M376" s="10">
        <v>0</v>
      </c>
      <c r="N376" s="11">
        <v>0</v>
      </c>
      <c r="O376" s="12">
        <v>1.6E-2</v>
      </c>
      <c r="P376" s="11">
        <v>3.6999999999999998E-2</v>
      </c>
      <c r="Q376" s="35">
        <v>-35</v>
      </c>
      <c r="R376" s="12">
        <v>1</v>
      </c>
      <c r="S376" s="10">
        <v>0</v>
      </c>
      <c r="T376" s="10">
        <v>0</v>
      </c>
      <c r="U376" s="22">
        <v>1</v>
      </c>
      <c r="V376" s="10">
        <v>0</v>
      </c>
      <c r="W376" s="10">
        <v>0</v>
      </c>
      <c r="X376" s="40">
        <v>36.958817317845828</v>
      </c>
      <c r="Y376" s="39">
        <v>36.958817317845828</v>
      </c>
      <c r="Z376" s="15">
        <v>5.2999999999999999E-2</v>
      </c>
      <c r="AA376" s="10">
        <v>0</v>
      </c>
      <c r="AB376" s="10">
        <v>2086.1020600000002</v>
      </c>
      <c r="AC376" s="43">
        <v>0</v>
      </c>
      <c r="AD376" s="43">
        <v>0</v>
      </c>
      <c r="AE376" s="44">
        <v>0</v>
      </c>
      <c r="AF376" s="10">
        <v>0</v>
      </c>
      <c r="AG376" s="10">
        <v>5289.020919999999</v>
      </c>
      <c r="AH376" s="12">
        <v>0</v>
      </c>
      <c r="AI376" s="10">
        <v>0</v>
      </c>
      <c r="AJ376" s="10">
        <v>0</v>
      </c>
      <c r="AK376" s="5" t="s">
        <v>29</v>
      </c>
      <c r="AL376" s="5" t="s">
        <v>29</v>
      </c>
      <c r="AM376" s="4" t="s">
        <v>145</v>
      </c>
    </row>
    <row r="377" spans="1:39" x14ac:dyDescent="0.35">
      <c r="A377" s="5" t="s">
        <v>108</v>
      </c>
      <c r="B377" s="9" t="s">
        <v>141</v>
      </c>
      <c r="C377" s="5" t="s">
        <v>113</v>
      </c>
      <c r="D377" s="9" t="s">
        <v>141</v>
      </c>
      <c r="E377" s="16">
        <v>0</v>
      </c>
      <c r="F377" s="24">
        <v>0</v>
      </c>
      <c r="G377" s="53">
        <v>0</v>
      </c>
      <c r="H377" s="10">
        <v>0</v>
      </c>
      <c r="I377" s="10">
        <v>0.70521114106019767</v>
      </c>
      <c r="J377" s="10">
        <v>0</v>
      </c>
      <c r="K377" s="10">
        <v>0.5861635220125786</v>
      </c>
      <c r="L377" s="10">
        <v>0.11904761904761905</v>
      </c>
      <c r="M377" s="10">
        <v>0</v>
      </c>
      <c r="N377" s="11">
        <v>0</v>
      </c>
      <c r="O377" s="12">
        <v>1.6E-2</v>
      </c>
      <c r="P377" s="11">
        <v>3.6999999999999998E-2</v>
      </c>
      <c r="Q377" s="35">
        <v>-0.70521114106019767</v>
      </c>
      <c r="R377" s="12">
        <v>0</v>
      </c>
      <c r="S377" s="10">
        <v>0</v>
      </c>
      <c r="T377" s="10">
        <v>0</v>
      </c>
      <c r="U377" s="22">
        <v>1</v>
      </c>
      <c r="V377" s="10">
        <v>1</v>
      </c>
      <c r="W377" s="10">
        <v>0</v>
      </c>
      <c r="X377" s="40">
        <v>0.7446791352272415</v>
      </c>
      <c r="Y377" s="39">
        <v>0.7446791352272415</v>
      </c>
      <c r="Z377" s="15">
        <v>5.2999999999999999E-2</v>
      </c>
      <c r="AA377" s="10">
        <v>0.70521114106019767</v>
      </c>
      <c r="AB377" s="10">
        <v>216.32003999999995</v>
      </c>
      <c r="AC377" s="43">
        <v>0</v>
      </c>
      <c r="AD377" s="43">
        <v>0</v>
      </c>
      <c r="AE377" s="44">
        <v>119.04761904761905</v>
      </c>
      <c r="AF377" s="10">
        <v>0</v>
      </c>
      <c r="AG377" s="10">
        <v>5289.020919999999</v>
      </c>
      <c r="AH377" s="12">
        <v>0</v>
      </c>
      <c r="AI377" s="10">
        <v>586.1635220125786</v>
      </c>
      <c r="AJ377" s="10">
        <v>119.04761904761905</v>
      </c>
      <c r="AK377" s="5" t="s">
        <v>113</v>
      </c>
      <c r="AL377" s="5" t="s">
        <v>113</v>
      </c>
      <c r="AM377" s="4" t="s">
        <v>145</v>
      </c>
    </row>
    <row r="378" spans="1:39" x14ac:dyDescent="0.35">
      <c r="A378" s="5" t="s">
        <v>108</v>
      </c>
      <c r="B378" s="9" t="s">
        <v>142</v>
      </c>
      <c r="C378" s="5" t="s">
        <v>128</v>
      </c>
      <c r="D378" s="9" t="s">
        <v>142</v>
      </c>
      <c r="E378" s="16">
        <v>0</v>
      </c>
      <c r="F378" s="24">
        <v>0</v>
      </c>
      <c r="G378" s="53">
        <v>0</v>
      </c>
      <c r="H378" s="10">
        <v>0</v>
      </c>
      <c r="I378" s="10">
        <v>0</v>
      </c>
      <c r="J378" s="10">
        <v>0</v>
      </c>
      <c r="K378" s="10">
        <v>0</v>
      </c>
      <c r="L378" s="10">
        <v>0</v>
      </c>
      <c r="M378" s="10">
        <v>0</v>
      </c>
      <c r="N378" s="11">
        <v>0</v>
      </c>
      <c r="O378" s="12">
        <v>1.6E-2</v>
      </c>
      <c r="P378" s="11">
        <v>3.6999999999999998E-2</v>
      </c>
      <c r="Q378" s="35">
        <v>0</v>
      </c>
      <c r="R378" s="12">
        <v>0</v>
      </c>
      <c r="S378" s="10">
        <v>0</v>
      </c>
      <c r="T378" s="10">
        <v>0</v>
      </c>
      <c r="U378" s="22">
        <v>1</v>
      </c>
      <c r="V378" s="10">
        <v>0</v>
      </c>
      <c r="W378" s="10">
        <v>0</v>
      </c>
      <c r="X378" s="40">
        <v>0</v>
      </c>
      <c r="Y378" s="39">
        <v>0</v>
      </c>
      <c r="Z378" s="15">
        <v>5.2999999999999999E-2</v>
      </c>
      <c r="AA378" s="10">
        <v>0</v>
      </c>
      <c r="AB378" s="10">
        <v>409.85919999999987</v>
      </c>
      <c r="AC378" s="43">
        <v>0</v>
      </c>
      <c r="AD378" s="43">
        <v>0</v>
      </c>
      <c r="AE378" s="44">
        <v>0</v>
      </c>
      <c r="AF378" s="10">
        <v>0</v>
      </c>
      <c r="AG378" s="10">
        <v>5289.020919999999</v>
      </c>
      <c r="AH378" s="12">
        <v>0</v>
      </c>
      <c r="AI378" s="10">
        <v>0</v>
      </c>
      <c r="AJ378" s="10">
        <v>0</v>
      </c>
      <c r="AK378" s="5" t="s">
        <v>128</v>
      </c>
      <c r="AL378" s="5" t="s">
        <v>128</v>
      </c>
      <c r="AM378" s="4" t="s">
        <v>145</v>
      </c>
    </row>
    <row r="379" spans="1:39" x14ac:dyDescent="0.35">
      <c r="A379" s="5" t="s">
        <v>108</v>
      </c>
      <c r="B379" s="9" t="s">
        <v>144</v>
      </c>
      <c r="C379" s="5" t="s">
        <v>29</v>
      </c>
      <c r="D379" s="9" t="s">
        <v>144</v>
      </c>
      <c r="E379" s="16">
        <v>0.50578764350021432</v>
      </c>
      <c r="F379" s="24">
        <v>83.971999999999994</v>
      </c>
      <c r="G379" s="53">
        <v>0</v>
      </c>
      <c r="H379" s="10">
        <v>83.971999999999994</v>
      </c>
      <c r="I379" s="10">
        <v>46.922515999999995</v>
      </c>
      <c r="J379" s="10">
        <v>42.471999999999994</v>
      </c>
      <c r="K379" s="10">
        <v>0</v>
      </c>
      <c r="L379" s="10">
        <v>0</v>
      </c>
      <c r="M379" s="10">
        <v>4.4505159999999995</v>
      </c>
      <c r="N379" s="11">
        <v>0</v>
      </c>
      <c r="O379" s="12">
        <v>1.6E-2</v>
      </c>
      <c r="P379" s="11">
        <v>3.6999999999999998E-2</v>
      </c>
      <c r="Q379" s="35">
        <v>37.049484</v>
      </c>
      <c r="R379" s="12">
        <v>0.44121235649978569</v>
      </c>
      <c r="S379" s="10">
        <v>0</v>
      </c>
      <c r="T379" s="10">
        <v>0</v>
      </c>
      <c r="U379" s="22">
        <v>1</v>
      </c>
      <c r="V379" s="10">
        <v>0</v>
      </c>
      <c r="W379" s="10">
        <v>0</v>
      </c>
      <c r="X379" s="40">
        <v>0</v>
      </c>
      <c r="Y379" s="39">
        <v>0</v>
      </c>
      <c r="Z379" s="15">
        <v>0.55878764350021437</v>
      </c>
      <c r="AA379" s="10">
        <v>0</v>
      </c>
      <c r="AB379" s="10">
        <v>2086.1020600000002</v>
      </c>
      <c r="AC379" s="43">
        <v>4.0253064128607394E-2</v>
      </c>
      <c r="AD379" s="43">
        <v>1.5876662480661923E-2</v>
      </c>
      <c r="AE379" s="44">
        <v>0</v>
      </c>
      <c r="AF379" s="10">
        <v>0</v>
      </c>
      <c r="AG379" s="10">
        <v>5289.020919999999</v>
      </c>
      <c r="AH379" s="12">
        <v>1.5876662480661923E-2</v>
      </c>
      <c r="AI379" s="10">
        <v>0</v>
      </c>
      <c r="AJ379" s="10">
        <v>0</v>
      </c>
      <c r="AK379" s="5" t="s">
        <v>29</v>
      </c>
      <c r="AL379" s="5" t="s">
        <v>29</v>
      </c>
      <c r="AM379" s="4" t="s">
        <v>145</v>
      </c>
    </row>
  </sheetData>
  <autoFilter ref="A1:AL312" xr:uid="{F42D15AE-EA09-47BA-96E2-124A33B39533}"/>
  <sortState xmlns:xlrd2="http://schemas.microsoft.com/office/spreadsheetml/2017/richdata2" ref="B2:G52">
    <sortCondition ref="C2:C52"/>
    <sortCondition ref="B2:B52"/>
  </sortState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865E7-BF57-4CE6-85C5-E3313C9C89A1}">
  <dimension ref="A1:C68"/>
  <sheetViews>
    <sheetView showGridLines="0" workbookViewId="0">
      <pane ySplit="1" topLeftCell="A21" activePane="bottomLeft" state="frozen"/>
      <selection pane="bottomLeft" activeCell="C31" sqref="C31"/>
    </sheetView>
  </sheetViews>
  <sheetFormatPr defaultRowHeight="14.5" x14ac:dyDescent="0.35"/>
  <cols>
    <col min="1" max="2" width="27.7265625" bestFit="1" customWidth="1"/>
  </cols>
  <sheetData>
    <row r="1" spans="1:3" x14ac:dyDescent="0.35">
      <c r="A1" s="1" t="s">
        <v>56</v>
      </c>
      <c r="B1" t="s">
        <v>4</v>
      </c>
      <c r="C1" t="s">
        <v>66</v>
      </c>
    </row>
    <row r="2" spans="1:3" x14ac:dyDescent="0.35">
      <c r="A2" t="s">
        <v>9</v>
      </c>
      <c r="B2" t="str">
        <f t="shared" ref="B2:B64" si="0">A2</f>
        <v>MG ABC</v>
      </c>
      <c r="C2" t="s">
        <v>113</v>
      </c>
    </row>
    <row r="3" spans="1:3" x14ac:dyDescent="0.35">
      <c r="A3" t="s">
        <v>10</v>
      </c>
      <c r="B3" t="str">
        <f t="shared" si="0"/>
        <v>MG BEM HORTIFRUT</v>
      </c>
      <c r="C3" t="s">
        <v>113</v>
      </c>
    </row>
    <row r="4" spans="1:3" x14ac:dyDescent="0.35">
      <c r="A4" t="s">
        <v>17</v>
      </c>
      <c r="B4" t="str">
        <f t="shared" si="0"/>
        <v>MT BIG LAR</v>
      </c>
      <c r="C4" t="s">
        <v>113</v>
      </c>
    </row>
    <row r="5" spans="1:3" x14ac:dyDescent="0.35">
      <c r="A5" t="s">
        <v>60</v>
      </c>
      <c r="B5" t="str">
        <f t="shared" si="0"/>
        <v>MT BOM GOSTO</v>
      </c>
      <c r="C5" t="s">
        <v>113</v>
      </c>
    </row>
    <row r="6" spans="1:3" x14ac:dyDescent="0.35">
      <c r="A6" t="s">
        <v>11</v>
      </c>
      <c r="B6" t="str">
        <f t="shared" si="0"/>
        <v>MG BONÍSSIMA</v>
      </c>
    </row>
    <row r="7" spans="1:3" x14ac:dyDescent="0.35">
      <c r="A7" t="s">
        <v>19</v>
      </c>
      <c r="B7" t="str">
        <f t="shared" si="0"/>
        <v>SP CASA SANTA LUZIA</v>
      </c>
      <c r="C7" t="s">
        <v>128</v>
      </c>
    </row>
    <row r="8" spans="1:3" x14ac:dyDescent="0.35">
      <c r="A8" t="s">
        <v>57</v>
      </c>
      <c r="B8" t="str">
        <f t="shared" si="0"/>
        <v>ES CASAGRANDE</v>
      </c>
      <c r="C8" t="s">
        <v>113</v>
      </c>
    </row>
    <row r="9" spans="1:3" x14ac:dyDescent="0.35">
      <c r="A9" t="s">
        <v>12</v>
      </c>
      <c r="B9" t="str">
        <f t="shared" si="0"/>
        <v>MG COELHO DINIZ</v>
      </c>
      <c r="C9" t="s">
        <v>113</v>
      </c>
    </row>
    <row r="10" spans="1:3" x14ac:dyDescent="0.35">
      <c r="A10" t="s">
        <v>7</v>
      </c>
      <c r="B10" t="str">
        <f t="shared" si="0"/>
        <v>DF EMPÓRIO PRIME</v>
      </c>
      <c r="C10" t="s">
        <v>113</v>
      </c>
    </row>
    <row r="11" spans="1:3" x14ac:dyDescent="0.35">
      <c r="A11" t="s">
        <v>8</v>
      </c>
      <c r="B11" t="s">
        <v>7</v>
      </c>
      <c r="C11" t="s">
        <v>113</v>
      </c>
    </row>
    <row r="12" spans="1:3" x14ac:dyDescent="0.35">
      <c r="A12" t="s">
        <v>18</v>
      </c>
      <c r="B12" t="str">
        <f t="shared" si="0"/>
        <v>MT FORT</v>
      </c>
      <c r="C12" t="s">
        <v>113</v>
      </c>
    </row>
    <row r="13" spans="1:3" x14ac:dyDescent="0.35">
      <c r="A13" t="s">
        <v>59</v>
      </c>
      <c r="B13" t="str">
        <f t="shared" si="0"/>
        <v>MG Hiper Monlevade</v>
      </c>
      <c r="C13" t="s">
        <v>113</v>
      </c>
    </row>
    <row r="14" spans="1:3" x14ac:dyDescent="0.35">
      <c r="A14" t="s">
        <v>20</v>
      </c>
      <c r="B14" t="str">
        <f t="shared" si="0"/>
        <v>SP INFANGER</v>
      </c>
      <c r="C14" t="s">
        <v>128</v>
      </c>
    </row>
    <row r="15" spans="1:3" x14ac:dyDescent="0.35">
      <c r="A15" t="s">
        <v>61</v>
      </c>
      <c r="B15" t="str">
        <f t="shared" si="0"/>
        <v>MT MERCADO CURIO</v>
      </c>
      <c r="C15" t="s">
        <v>113</v>
      </c>
    </row>
    <row r="16" spans="1:3" x14ac:dyDescent="0.35">
      <c r="A16" t="s">
        <v>62</v>
      </c>
      <c r="B16" t="str">
        <f t="shared" si="0"/>
        <v>SC MONIARI</v>
      </c>
      <c r="C16" t="s">
        <v>22</v>
      </c>
    </row>
    <row r="17" spans="1:3" x14ac:dyDescent="0.35">
      <c r="A17" t="s">
        <v>58</v>
      </c>
      <c r="B17" t="str">
        <f t="shared" si="0"/>
        <v>ES ORIUNDI</v>
      </c>
      <c r="C17" t="s">
        <v>113</v>
      </c>
    </row>
    <row r="18" spans="1:3" x14ac:dyDescent="0.35">
      <c r="A18" t="s">
        <v>13</v>
      </c>
      <c r="B18" t="str">
        <f t="shared" si="0"/>
        <v>MG PANELÃO</v>
      </c>
      <c r="C18" t="s">
        <v>113</v>
      </c>
    </row>
    <row r="19" spans="1:3" x14ac:dyDescent="0.35">
      <c r="A19" t="s">
        <v>14</v>
      </c>
      <c r="B19" t="str">
        <f t="shared" si="0"/>
        <v>MG SUPER LUNA</v>
      </c>
      <c r="C19" t="s">
        <v>113</v>
      </c>
    </row>
    <row r="20" spans="1:3" x14ac:dyDescent="0.35">
      <c r="A20" t="s">
        <v>15</v>
      </c>
      <c r="B20" t="str">
        <f t="shared" si="0"/>
        <v>MG SUPERMAXI</v>
      </c>
      <c r="C20" t="s">
        <v>113</v>
      </c>
    </row>
    <row r="21" spans="1:3" x14ac:dyDescent="0.35">
      <c r="A21" t="s">
        <v>21</v>
      </c>
      <c r="B21" t="str">
        <f t="shared" si="0"/>
        <v>SP SuperVille</v>
      </c>
      <c r="C21" t="s">
        <v>128</v>
      </c>
    </row>
    <row r="22" spans="1:3" x14ac:dyDescent="0.35">
      <c r="A22" t="s">
        <v>16</v>
      </c>
      <c r="B22" t="str">
        <f t="shared" si="0"/>
        <v>MG VIA BAHIA</v>
      </c>
      <c r="C22" t="s">
        <v>113</v>
      </c>
    </row>
    <row r="23" spans="1:3" x14ac:dyDescent="0.35">
      <c r="A23" t="s">
        <v>23</v>
      </c>
      <c r="B23" t="str">
        <f t="shared" si="0"/>
        <v>SC ANGELONI</v>
      </c>
      <c r="C23" t="s">
        <v>22</v>
      </c>
    </row>
    <row r="24" spans="1:3" x14ac:dyDescent="0.35">
      <c r="A24" t="s">
        <v>25</v>
      </c>
      <c r="B24" t="str">
        <f t="shared" si="0"/>
        <v>SC BISTEK</v>
      </c>
      <c r="C24" t="s">
        <v>22</v>
      </c>
    </row>
    <row r="25" spans="1:3" x14ac:dyDescent="0.35">
      <c r="A25" t="s">
        <v>45</v>
      </c>
      <c r="B25" t="str">
        <f t="shared" si="0"/>
        <v>PR FESTVAL</v>
      </c>
      <c r="C25" t="s">
        <v>22</v>
      </c>
    </row>
    <row r="26" spans="1:3" x14ac:dyDescent="0.35">
      <c r="A26" t="s">
        <v>26</v>
      </c>
      <c r="B26" t="str">
        <f t="shared" si="0"/>
        <v>SC FORT</v>
      </c>
      <c r="C26" t="s">
        <v>22</v>
      </c>
    </row>
    <row r="27" spans="1:3" x14ac:dyDescent="0.35">
      <c r="A27" t="s">
        <v>27</v>
      </c>
      <c r="B27" t="str">
        <f t="shared" si="0"/>
        <v>SC HIPERBOM / HIPERSELECT</v>
      </c>
      <c r="C27" t="s">
        <v>22</v>
      </c>
    </row>
    <row r="28" spans="1:3" x14ac:dyDescent="0.35">
      <c r="A28" t="s">
        <v>28</v>
      </c>
      <c r="B28" t="str">
        <f t="shared" si="0"/>
        <v>SC IMPERATRIZ</v>
      </c>
      <c r="C28" t="s">
        <v>22</v>
      </c>
    </row>
    <row r="29" spans="1:3" x14ac:dyDescent="0.35">
      <c r="A29" t="s">
        <v>24</v>
      </c>
      <c r="B29" t="str">
        <f t="shared" si="0"/>
        <v>RS ZAFFARI</v>
      </c>
      <c r="C29" t="s">
        <v>22</v>
      </c>
    </row>
    <row r="30" spans="1:3" x14ac:dyDescent="0.35">
      <c r="A30" t="s">
        <v>65</v>
      </c>
      <c r="B30" t="str">
        <f t="shared" si="0"/>
        <v>SP DUFRY</v>
      </c>
      <c r="C30" t="s">
        <v>113</v>
      </c>
    </row>
    <row r="31" spans="1:3" x14ac:dyDescent="0.35">
      <c r="A31" t="s">
        <v>30</v>
      </c>
      <c r="B31" t="str">
        <f t="shared" si="0"/>
        <v>DF ASSAI</v>
      </c>
      <c r="C31" t="s">
        <v>29</v>
      </c>
    </row>
    <row r="32" spans="1:3" x14ac:dyDescent="0.35">
      <c r="A32" t="s">
        <v>35</v>
      </c>
      <c r="B32" t="s">
        <v>30</v>
      </c>
      <c r="C32" t="s">
        <v>29</v>
      </c>
    </row>
    <row r="33" spans="1:3" x14ac:dyDescent="0.35">
      <c r="A33" t="s">
        <v>37</v>
      </c>
      <c r="B33" t="str">
        <f t="shared" si="0"/>
        <v>MG ASSAI</v>
      </c>
      <c r="C33" t="s">
        <v>29</v>
      </c>
    </row>
    <row r="34" spans="1:3" x14ac:dyDescent="0.35">
      <c r="A34" t="s">
        <v>38</v>
      </c>
      <c r="B34" t="str">
        <f t="shared" si="0"/>
        <v>MG BAHAMAS</v>
      </c>
      <c r="C34" t="s">
        <v>29</v>
      </c>
    </row>
    <row r="35" spans="1:3" x14ac:dyDescent="0.35">
      <c r="A35" t="s">
        <v>39</v>
      </c>
      <c r="B35" t="str">
        <f t="shared" si="0"/>
        <v>MG BH</v>
      </c>
      <c r="C35" t="s">
        <v>29</v>
      </c>
    </row>
    <row r="36" spans="1:3" x14ac:dyDescent="0.35">
      <c r="A36" t="s">
        <v>49</v>
      </c>
      <c r="B36" t="str">
        <f t="shared" si="0"/>
        <v>SP BOA</v>
      </c>
      <c r="C36" t="s">
        <v>128</v>
      </c>
    </row>
    <row r="37" spans="1:3" x14ac:dyDescent="0.35">
      <c r="A37" t="s">
        <v>63</v>
      </c>
      <c r="B37" t="str">
        <f t="shared" si="0"/>
        <v>ES Carone</v>
      </c>
      <c r="C37" t="s">
        <v>29</v>
      </c>
    </row>
    <row r="38" spans="1:3" x14ac:dyDescent="0.35">
      <c r="A38" t="s">
        <v>64</v>
      </c>
      <c r="B38" t="s">
        <v>63</v>
      </c>
      <c r="C38" t="s">
        <v>29</v>
      </c>
    </row>
    <row r="39" spans="1:3" x14ac:dyDescent="0.35">
      <c r="A39" t="s">
        <v>131</v>
      </c>
      <c r="B39" t="str">
        <f t="shared" si="0"/>
        <v>PR CIRCUITO</v>
      </c>
      <c r="C39" t="s">
        <v>29</v>
      </c>
    </row>
    <row r="40" spans="1:3" x14ac:dyDescent="0.35">
      <c r="A40" t="s">
        <v>33</v>
      </c>
      <c r="B40" t="str">
        <f t="shared" si="0"/>
        <v>DF DONA</v>
      </c>
      <c r="C40" t="s">
        <v>29</v>
      </c>
    </row>
    <row r="41" spans="1:3" x14ac:dyDescent="0.35">
      <c r="A41" t="s">
        <v>40</v>
      </c>
      <c r="B41" t="str">
        <f t="shared" si="0"/>
        <v>MG EPA</v>
      </c>
      <c r="C41" t="s">
        <v>29</v>
      </c>
    </row>
    <row r="42" spans="1:3" x14ac:dyDescent="0.35">
      <c r="A42" t="s">
        <v>50</v>
      </c>
      <c r="B42" t="str">
        <f t="shared" si="0"/>
        <v>SP FORT</v>
      </c>
      <c r="C42" t="s">
        <v>128</v>
      </c>
    </row>
    <row r="43" spans="1:3" x14ac:dyDescent="0.35">
      <c r="A43" t="s">
        <v>5</v>
      </c>
      <c r="B43" t="str">
        <f t="shared" si="0"/>
        <v>BA HIPERIDEAL</v>
      </c>
      <c r="C43" t="s">
        <v>29</v>
      </c>
    </row>
    <row r="44" spans="1:3" x14ac:dyDescent="0.35">
      <c r="A44" t="s">
        <v>46</v>
      </c>
      <c r="B44" t="str">
        <f t="shared" si="0"/>
        <v>PR ÍTALO</v>
      </c>
      <c r="C44" t="s">
        <v>29</v>
      </c>
    </row>
    <row r="45" spans="1:3" x14ac:dyDescent="0.35">
      <c r="A45" t="s">
        <v>51</v>
      </c>
      <c r="B45" t="str">
        <f t="shared" si="0"/>
        <v>SP MAMBO</v>
      </c>
      <c r="C45" t="s">
        <v>128</v>
      </c>
    </row>
    <row r="46" spans="1:3" x14ac:dyDescent="0.35">
      <c r="A46" t="s">
        <v>36</v>
      </c>
      <c r="B46" t="s">
        <v>44</v>
      </c>
      <c r="C46" t="s">
        <v>29</v>
      </c>
    </row>
    <row r="47" spans="1:3" x14ac:dyDescent="0.35">
      <c r="A47" t="s">
        <v>43</v>
      </c>
      <c r="B47" t="s">
        <v>44</v>
      </c>
      <c r="C47" t="s">
        <v>29</v>
      </c>
    </row>
    <row r="48" spans="1:3" x14ac:dyDescent="0.35">
      <c r="A48" t="s">
        <v>44</v>
      </c>
      <c r="B48" t="s">
        <v>44</v>
      </c>
      <c r="C48" t="s">
        <v>29</v>
      </c>
    </row>
    <row r="49" spans="1:3" x14ac:dyDescent="0.35">
      <c r="A49" t="s">
        <v>6</v>
      </c>
      <c r="B49" t="str">
        <f t="shared" si="0"/>
        <v>CE MERCADINHO SÃO LUIZ</v>
      </c>
      <c r="C49" t="s">
        <v>29</v>
      </c>
    </row>
    <row r="50" spans="1:3" x14ac:dyDescent="0.35">
      <c r="A50" t="s">
        <v>32</v>
      </c>
      <c r="B50" t="s">
        <v>31</v>
      </c>
      <c r="C50" t="s">
        <v>128</v>
      </c>
    </row>
    <row r="51" spans="1:3" x14ac:dyDescent="0.35">
      <c r="A51" t="s">
        <v>52</v>
      </c>
      <c r="B51" t="s">
        <v>31</v>
      </c>
      <c r="C51" t="s">
        <v>128</v>
      </c>
    </row>
    <row r="52" spans="1:3" x14ac:dyDescent="0.35">
      <c r="A52" t="s">
        <v>34</v>
      </c>
      <c r="B52" t="str">
        <f t="shared" si="0"/>
        <v>DF SUPER ADEGA</v>
      </c>
      <c r="C52" t="s">
        <v>29</v>
      </c>
    </row>
    <row r="53" spans="1:3" x14ac:dyDescent="0.35">
      <c r="A53" t="s">
        <v>41</v>
      </c>
      <c r="B53" t="str">
        <f t="shared" si="0"/>
        <v>MG SUPERNOSSO</v>
      </c>
      <c r="C53" t="s">
        <v>29</v>
      </c>
    </row>
    <row r="54" spans="1:3" x14ac:dyDescent="0.35">
      <c r="A54" t="s">
        <v>42</v>
      </c>
      <c r="B54" t="str">
        <f t="shared" si="0"/>
        <v>MG VERDEMAR</v>
      </c>
      <c r="C54" t="s">
        <v>29</v>
      </c>
    </row>
    <row r="55" spans="1:3" x14ac:dyDescent="0.35">
      <c r="A55" t="s">
        <v>53</v>
      </c>
      <c r="B55" t="str">
        <f t="shared" si="0"/>
        <v>SP ZAFFARI</v>
      </c>
      <c r="C55" t="s">
        <v>128</v>
      </c>
    </row>
    <row r="56" spans="1:3" x14ac:dyDescent="0.35">
      <c r="A56" t="s">
        <v>48</v>
      </c>
      <c r="B56" t="str">
        <f t="shared" si="0"/>
        <v>RJ ZONA SUL</v>
      </c>
      <c r="C56" t="s">
        <v>29</v>
      </c>
    </row>
    <row r="57" spans="1:3" x14ac:dyDescent="0.35">
      <c r="A57" t="s">
        <v>114</v>
      </c>
      <c r="B57" t="str">
        <f t="shared" si="0"/>
        <v>AM Pátio Gourmet</v>
      </c>
      <c r="C57" t="s">
        <v>113</v>
      </c>
    </row>
    <row r="58" spans="1:3" x14ac:dyDescent="0.35">
      <c r="A58" t="s">
        <v>115</v>
      </c>
      <c r="B58" t="str">
        <f t="shared" si="0"/>
        <v>AC ARASUPER</v>
      </c>
      <c r="C58" t="s">
        <v>113</v>
      </c>
    </row>
    <row r="59" spans="1:3" x14ac:dyDescent="0.35">
      <c r="A59" t="s">
        <v>116</v>
      </c>
      <c r="B59" t="str">
        <f t="shared" si="0"/>
        <v>RS Supermercado Apolo</v>
      </c>
      <c r="C59" t="s">
        <v>113</v>
      </c>
    </row>
    <row r="60" spans="1:3" x14ac:dyDescent="0.35">
      <c r="A60" t="s">
        <v>117</v>
      </c>
      <c r="B60" t="s">
        <v>115</v>
      </c>
      <c r="C60" t="s">
        <v>113</v>
      </c>
    </row>
    <row r="61" spans="1:3" x14ac:dyDescent="0.35">
      <c r="A61" t="s">
        <v>118</v>
      </c>
      <c r="B61" t="str">
        <f t="shared" si="0"/>
        <v>MG SUPERMERCADO MONTEREY</v>
      </c>
      <c r="C61" t="s">
        <v>113</v>
      </c>
    </row>
    <row r="62" spans="1:3" x14ac:dyDescent="0.35">
      <c r="A62" t="s">
        <v>73</v>
      </c>
      <c r="B62" t="str">
        <f t="shared" si="0"/>
        <v>RJ ZONA SUL - Me Bebe</v>
      </c>
      <c r="C62" t="s">
        <v>29</v>
      </c>
    </row>
    <row r="63" spans="1:3" x14ac:dyDescent="0.35">
      <c r="A63" t="s">
        <v>47</v>
      </c>
      <c r="B63" t="str">
        <f t="shared" si="0"/>
        <v>PR MUFFATO</v>
      </c>
      <c r="C63" t="s">
        <v>29</v>
      </c>
    </row>
    <row r="64" spans="1:3" x14ac:dyDescent="0.35">
      <c r="A64" t="s">
        <v>120</v>
      </c>
      <c r="B64" t="str">
        <f t="shared" si="0"/>
        <v>SP CONFIANÇA</v>
      </c>
      <c r="C64" t="s">
        <v>128</v>
      </c>
    </row>
    <row r="65" spans="1:3" x14ac:dyDescent="0.35">
      <c r="A65" t="s">
        <v>121</v>
      </c>
      <c r="B65" t="s">
        <v>44</v>
      </c>
      <c r="C65" t="s">
        <v>29</v>
      </c>
    </row>
    <row r="66" spans="1:3" x14ac:dyDescent="0.35">
      <c r="A66" t="s">
        <v>125</v>
      </c>
      <c r="B66" t="str">
        <f t="shared" ref="B66" si="1">A66</f>
        <v>SC BRASIL ATACADISTA</v>
      </c>
      <c r="C66" t="s">
        <v>22</v>
      </c>
    </row>
    <row r="67" spans="1:3" x14ac:dyDescent="0.35">
      <c r="A67" t="s">
        <v>126</v>
      </c>
      <c r="B67" t="str">
        <f t="shared" ref="B67:B68" si="2">A67</f>
        <v>MG Cevaroli</v>
      </c>
      <c r="C67" t="s">
        <v>113</v>
      </c>
    </row>
    <row r="68" spans="1:3" x14ac:dyDescent="0.35">
      <c r="A68" t="s">
        <v>129</v>
      </c>
      <c r="B68" t="str">
        <f t="shared" si="2"/>
        <v>SC HIPPO</v>
      </c>
      <c r="C68" t="s">
        <v>22</v>
      </c>
    </row>
  </sheetData>
  <autoFilter ref="A1:C68" xr:uid="{B84865E7-BF57-4CE6-85C5-E3313C9C89A1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Resumo</vt:lpstr>
      <vt:lpstr>Análise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Julliano Brito Barros</dc:creator>
  <cp:lastModifiedBy>Julliano Brito Barros</cp:lastModifiedBy>
  <cp:lastPrinted>2025-09-09T20:09:36Z</cp:lastPrinted>
  <dcterms:created xsi:type="dcterms:W3CDTF">2025-08-26T11:47:23Z</dcterms:created>
  <dcterms:modified xsi:type="dcterms:W3CDTF">2026-04-07T20:09:21Z</dcterms:modified>
</cp:coreProperties>
</file>